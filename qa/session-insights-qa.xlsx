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Features" sheetId="2" state="visible" r:id="rId2"/>
    <sheet name="Behaviors" sheetId="3" state="visible" r:id="rId3"/>
    <sheet name="Test Runs" sheetId="4" state="visible" r:id="rId4"/>
    <sheet name="Defects" sheetId="5" state="visible" r:id="rId5"/>
    <sheet name="UX Opportunities" sheetId="6" state="visible" r:id="rId6"/>
    <sheet name="Routing" sheetId="7" state="visible" r:id="rId7"/>
    <sheet name="UX Coverage" sheetId="8" state="visible" r:id="rId8"/>
    <sheet name="Summary" sheetId="9" state="visible" r:id="rId9"/>
  </sheets>
  <definedNames>
    <definedName name="_xlnm._FilterDatabase" localSheetId="0" hidden="1">'Runs'!$A$1:$U$1</definedName>
    <definedName name="_xlnm._FilterDatabase" localSheetId="1" hidden="1">'Features'!$A$1:$P$1</definedName>
    <definedName name="_xlnm._FilterDatabase" localSheetId="2" hidden="1">'Behaviors'!$A$1:$M$1</definedName>
    <definedName name="_xlnm._FilterDatabase" localSheetId="3" hidden="1">'Test Runs'!$A$1:$O$1</definedName>
    <definedName name="_xlnm._FilterDatabase" localSheetId="4" hidden="1">'Defects'!$A$1:$S$1</definedName>
    <definedName name="_xlnm._FilterDatabase" localSheetId="5" hidden="1">'UX Opportunities'!$A$1:$Q$1</definedName>
    <definedName name="_xlnm._FilterDatabase" localSheetId="6" hidden="1">'Routing'!$A$1:$M$1</definedName>
    <definedName name="_xlnm._FilterDatabase" localSheetId="7" hidden="1">'UX Coverage'!$A$1:$H$1</definedName>
    <definedName name="_xlnm._FilterDatabase" localSheetId="8" hidden="1">'Summary'!$A$1:$B$1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F Pro Text"/>
      <b val="1"/>
      <color rgb="00FFFFFF"/>
      <sz val="11"/>
    </font>
    <font>
      <name val="SF Pro Text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 ht="28" customHeight="1">
      <c r="A1" s="1" t="inlineStr">
        <is>
          <t>run_id</t>
        </is>
      </c>
      <c r="B1" s="1" t="inlineStr">
        <is>
          <t>app</t>
        </is>
      </c>
      <c r="C1" s="1" t="inlineStr">
        <is>
          <t>repository</t>
        </is>
      </c>
      <c r="D1" s="1" t="inlineStr">
        <is>
          <t>commit_or_build</t>
        </is>
      </c>
      <c r="E1" s="1" t="inlineStr">
        <is>
          <t>artifact_path</t>
        </is>
      </c>
      <c r="F1" s="1" t="inlineStr">
        <is>
          <t>platform</t>
        </is>
      </c>
      <c r="G1" s="1" t="inlineStr">
        <is>
          <t>environment</t>
        </is>
      </c>
      <c r="H1" s="1" t="inlineStr">
        <is>
          <t>roles</t>
        </is>
      </c>
      <c r="I1" s="1" t="inlineStr">
        <is>
          <t>permissions</t>
        </is>
      </c>
      <c r="J1" s="1" t="inlineStr">
        <is>
          <t>locale</t>
        </is>
      </c>
      <c r="K1" s="1" t="inlineStr">
        <is>
          <t>feature_flags</t>
        </is>
      </c>
      <c r="L1" s="1" t="inlineStr">
        <is>
          <t>integrations</t>
        </is>
      </c>
      <c r="M1" s="1" t="inlineStr">
        <is>
          <t>scope</t>
        </is>
      </c>
      <c r="N1" s="1" t="inlineStr">
        <is>
          <t>exclusions</t>
        </is>
      </c>
      <c r="O1" s="1" t="inlineStr">
        <is>
          <t>protected_actions</t>
        </is>
      </c>
      <c r="P1" s="1" t="inlineStr">
        <is>
          <t>initial_token_budget</t>
        </is>
      </c>
      <c r="Q1" s="1" t="inlineStr">
        <is>
          <t>remaining_tokens_checkpoint</t>
        </is>
      </c>
      <c r="R1" s="1" t="inlineStr">
        <is>
          <t>phase</t>
        </is>
      </c>
      <c r="S1" s="1" t="inlineStr">
        <is>
          <t>status</t>
        </is>
      </c>
      <c r="T1" s="1" t="inlineStr">
        <is>
          <t>started_at</t>
        </is>
      </c>
      <c r="U1" s="1" t="inlineStr">
        <is>
          <t>updated_at</t>
        </is>
      </c>
    </row>
    <row r="2" ht="48" customHeight="1">
      <c r="A2" s="2" t="inlineStr">
        <is>
          <t>QA-0001</t>
        </is>
      </c>
      <c r="B2" s="2" t="inlineStr">
        <is>
          <t>Cepessa Sessions Dev</t>
        </is>
      </c>
      <c r="C2" s="2" t="inlineStr">
        <is>
          <t>/Users/ben/Developer/Cepessa Sessions/insights-worktree</t>
        </is>
      </c>
      <c r="D2" s="2" t="inlineStr">
        <is>
          <t>Sessions Dev.app sha256:80a93ed5d29c1afa mtime 2026-09-19T14:49Z</t>
        </is>
      </c>
      <c r="E2" s="2" t="inlineStr">
        <is>
          <t>desktop/build/Sessions Dev.app</t>
        </is>
      </c>
      <c r="F2" s="2" t="inlineStr">
        <is>
          <t>macOS 26, desktop accessory app</t>
        </is>
      </c>
      <c r="G2" s="2" t="inlineStr">
        <is>
          <t>me.cepessa.sessions-dev; CEPESSA_INSIGHTS_USE_FIXTURE=1; test-root=/private/tmp/cepessa-sessions-jev/ui-root</t>
        </is>
      </c>
      <c r="H2" s="2" t="inlineStr">
        <is>
          <t>local user of Sessions Dev</t>
        </is>
      </c>
      <c r="I2" s="2" t="inlineStr">
        <is>
          <t>Accessibility granted for agent-swift; Screen Recording not granted to screenshot helper (agent-swift screenshots worked)</t>
        </is>
      </c>
      <c r="J2" s="2" t="inlineStr">
        <is>
          <t>en-IL mixed Hebrew/English</t>
        </is>
      </c>
      <c r="K2" s="2" t="inlineStr">
        <is>
          <t>CEPESSA_INSIGHTS_USE_FIXTURE=1; cloud analysis off by default</t>
        </is>
      </c>
      <c r="L2" s="2" t="inlineStr">
        <is>
          <t>TypeSafe Jev optional; this run used fixture provider in the app</t>
        </is>
      </c>
      <c r="M2" s="2" t="inlineStr">
        <is>
          <t>Cloud analysis / decisions surface, settings, reader, export, sidecar, source, confirm/dismiss, RTL, prompt-package isolation</t>
        </is>
      </c>
      <c r="N2" s="2" t="inlineStr">
        <is>
          <t>Production Sessions.app; install; merge; push; live Jev on private recordings; recording/clips capture; transcription engine</t>
        </is>
      </c>
      <c r="O2" s="2" t="inlineStr">
        <is>
          <t>No production install, merge, publish, spend, or private transcript transmission</t>
        </is>
      </c>
      <c r="P2" s="2" t="inlineStr">
        <is>
          <t>Unverifiable (no user token budget)</t>
        </is>
      </c>
      <c r="Q2" s="2" t="inlineStr">
        <is>
          <t>Unverifiable</t>
        </is>
      </c>
      <c r="R2" s="2" t="inlineStr">
        <is>
          <t>Baseline</t>
        </is>
      </c>
      <c r="S2" s="2" t="inlineStr">
        <is>
          <t>Inventory</t>
        </is>
      </c>
      <c r="T2" s="2" t="inlineStr">
        <is>
          <t>2026-09-19T18:06:43Z</t>
        </is>
      </c>
      <c r="U2" s="2" t="inlineStr">
        <is>
          <t>2026-09-19T18:06:43Z</t>
        </is>
      </c>
    </row>
  </sheetData>
  <autoFilter ref="A1: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 ht="28" customHeight="1">
      <c r="A1" s="1" t="inlineStr">
        <is>
          <t>feature_id</t>
        </is>
      </c>
      <c r="B1" s="1" t="inlineStr">
        <is>
          <t>area</t>
        </is>
      </c>
      <c r="C1" s="1" t="inlineStr">
        <is>
          <t>surface</t>
        </is>
      </c>
      <c r="D1" s="1" t="inlineStr">
        <is>
          <t>actor</t>
        </is>
      </c>
      <c r="E1" s="1" t="inlineStr">
        <is>
          <t>user_story</t>
        </is>
      </c>
      <c r="F1" s="1" t="inlineStr">
        <is>
          <t>user_value</t>
        </is>
      </c>
      <c r="G1" s="1" t="inlineStr">
        <is>
          <t>code_evidence</t>
        </is>
      </c>
      <c r="H1" s="1" t="inlineStr">
        <is>
          <t>runtime_evidence</t>
        </is>
      </c>
      <c r="I1" s="1" t="inlineStr">
        <is>
          <t>source_presence</t>
        </is>
      </c>
      <c r="J1" s="1" t="inlineStr">
        <is>
          <t>availability</t>
        </is>
      </c>
      <c r="K1" s="1" t="inlineStr">
        <is>
          <t>expected_source</t>
        </is>
      </c>
      <c r="L1" s="1" t="inlineStr">
        <is>
          <t>confidence</t>
        </is>
      </c>
      <c r="M1" s="1" t="inlineStr">
        <is>
          <t>risk</t>
        </is>
      </c>
      <c r="N1" s="1" t="inlineStr">
        <is>
          <t>in_scope</t>
        </is>
      </c>
      <c r="O1" s="1" t="inlineStr">
        <is>
          <t>current_status</t>
        </is>
      </c>
      <c r="P1" s="1" t="inlineStr">
        <is>
          <t>notes</t>
        </is>
      </c>
    </row>
    <row r="2" ht="48" customHeight="1">
      <c r="A2" s="2" t="inlineStr">
        <is>
          <t>F-0001</t>
        </is>
      </c>
      <c r="B2" s="2" t="inlineStr">
        <is>
          <t>Settings</t>
        </is>
      </c>
      <c r="C2" s="2" t="inlineStr">
        <is>
          <t>Sessions Dev Settings &gt; Cloud Analysis</t>
        </is>
      </c>
      <c r="D2" s="2" t="inlineStr">
        <is>
          <t>Local user</t>
        </is>
      </c>
      <c r="E2" s="2" t="inlineStr">
        <is>
          <t>As a user, I want cloud analysis off until I allow it, so that transcript text is not sent by surprise.</t>
        </is>
      </c>
      <c r="F2" s="2" t="inlineStr">
        <is>
          <t>Keep TypeSafe optional and explicit</t>
        </is>
      </c>
      <c r="G2" s="2" t="inlineStr">
        <is>
          <t>CloudAnalysisSettingsSection Toggle Allow TypeSafe analysis</t>
        </is>
      </c>
      <c r="H2" s="2" t="inlineStr">
        <is>
          <t>qa/evidence/01-settings-cloud.png</t>
        </is>
      </c>
      <c r="I2" s="2" t="inlineStr">
        <is>
          <t>Both</t>
        </is>
      </c>
      <c r="J2" s="2" t="inlineStr">
        <is>
          <t>Experimental</t>
        </is>
      </c>
      <c r="K2" s="2" t="inlineStr">
        <is>
          <t>Contract</t>
        </is>
      </c>
      <c r="L2" s="2" t="inlineStr">
        <is>
          <t>High</t>
        </is>
      </c>
      <c r="M2" s="2" t="inlineStr">
        <is>
          <t>High</t>
        </is>
      </c>
      <c r="N2" s="2" t="inlineStr">
        <is>
          <t>TRUE</t>
        </is>
      </c>
      <c r="O2" s="2" t="inlineStr">
        <is>
          <t>Not fully tested</t>
        </is>
      </c>
      <c r="P2" s="2" t="inlineStr">
        <is>
          <t>Toggle exists; footer states off by default</t>
        </is>
      </c>
    </row>
    <row r="3" ht="48" customHeight="1">
      <c r="A3" s="2" t="inlineStr">
        <is>
          <t>F-0002</t>
        </is>
      </c>
      <c r="B3" s="2" t="inlineStr">
        <is>
          <t>Settings</t>
        </is>
      </c>
      <c r="C3" s="2" t="inlineStr">
        <is>
          <t>API key field</t>
        </is>
      </c>
      <c r="D3" s="2" t="inlineStr">
        <is>
          <t>Local user</t>
        </is>
      </c>
      <c r="E3" s="2" t="inlineStr">
        <is>
          <t>As a user, I want to save or remove a TypeSafe key in Keychain, so that analysis can run without embedding a key.</t>
        </is>
      </c>
      <c r="F3" s="2" t="inlineStr">
        <is>
          <t>Store credential on this Mac only</t>
        </is>
      </c>
      <c r="G3" s="2" t="inlineStr">
        <is>
          <t>LocalSessionInsightCredentialStore + Save/Remove key</t>
        </is>
      </c>
      <c r="H3" s="2" t="inlineStr">
        <is>
          <t>qa/evidence/01-settings-cloud.png</t>
        </is>
      </c>
      <c r="I3" s="2" t="inlineStr">
        <is>
          <t>Both</t>
        </is>
      </c>
      <c r="J3" s="2" t="inlineStr">
        <is>
          <t>Experimental</t>
        </is>
      </c>
      <c r="K3" s="2" t="inlineStr">
        <is>
          <t>Contract</t>
        </is>
      </c>
      <c r="L3" s="2" t="inlineStr">
        <is>
          <t>High</t>
        </is>
      </c>
      <c r="M3" s="2" t="inlineStr">
        <is>
          <t>High</t>
        </is>
      </c>
      <c r="N3" s="2" t="inlineStr">
        <is>
          <t>TRUE</t>
        </is>
      </c>
      <c r="O3" s="2" t="inlineStr">
        <is>
          <t>Not fully tested</t>
        </is>
      </c>
      <c r="P3" s="2" t="inlineStr">
        <is>
          <t>No key stored shown; live key not entered in Settings</t>
        </is>
      </c>
    </row>
    <row r="4" ht="48" customHeight="1">
      <c r="A4" s="2" t="inlineStr">
        <is>
          <t>F-0003</t>
        </is>
      </c>
      <c r="B4" s="2" t="inlineStr">
        <is>
          <t>Reader</t>
        </is>
      </c>
      <c r="C4" s="2" t="inlineStr">
        <is>
          <t>Decisions block</t>
        </is>
      </c>
      <c r="D4" s="2" t="inlineStr">
        <is>
          <t>Local user</t>
        </is>
      </c>
      <c r="E4" s="2" t="inlineStr">
        <is>
          <t>As a user, I want a compact decisions area in the reader, so that I can review claims without leaving the transcript.</t>
        </is>
      </c>
      <c r="F4" s="2" t="inlineStr">
        <is>
          <t>Stay in the reading surface</t>
        </is>
      </c>
      <c r="G4" s="2" t="inlineStr">
        <is>
          <t>LocalSessionInsightsView in CepessaSessionReadingView</t>
        </is>
      </c>
      <c r="H4" s="2" t="inlineStr">
        <is>
          <t>qa/evidence/02-reader-before-analyze.png</t>
        </is>
      </c>
      <c r="I4" s="2" t="inlineStr">
        <is>
          <t>Both</t>
        </is>
      </c>
      <c r="J4" s="2" t="inlineStr">
        <is>
          <t>Experimental</t>
        </is>
      </c>
      <c r="K4" s="2" t="inlineStr">
        <is>
          <t>Contract</t>
        </is>
      </c>
      <c r="L4" s="2" t="inlineStr">
        <is>
          <t>High</t>
        </is>
      </c>
      <c r="M4" s="2" t="inlineStr">
        <is>
          <t>Medium</t>
        </is>
      </c>
      <c r="N4" s="2" t="inlineStr">
        <is>
          <t>TRUE</t>
        </is>
      </c>
      <c r="O4" s="2" t="inlineStr">
        <is>
          <t>Not fully tested</t>
        </is>
      </c>
      <c r="P4" s="2" t="inlineStr"/>
    </row>
    <row r="5" ht="48" customHeight="1">
      <c r="A5" s="2" t="inlineStr">
        <is>
          <t>F-0004</t>
        </is>
      </c>
      <c r="B5" s="2" t="inlineStr">
        <is>
          <t>Reader</t>
        </is>
      </c>
      <c r="C5" s="2" t="inlineStr">
        <is>
          <t>Analyze with TypeSafe</t>
        </is>
      </c>
      <c r="D5" s="2" t="inlineStr">
        <is>
          <t>Local user</t>
        </is>
      </c>
      <c r="E5" s="2" t="inlineStr">
        <is>
          <t>As a user, I want to start analysis myself, so that I know when transcript text may be sent.</t>
        </is>
      </c>
      <c r="F5" s="2" t="inlineStr">
        <is>
          <t>Explicit start</t>
        </is>
      </c>
      <c r="G5" s="2" t="inlineStr">
        <is>
          <t>Analyze with TypeSafe button + disclosure copy</t>
        </is>
      </c>
      <c r="H5" s="2" t="inlineStr">
        <is>
          <t>qa/evidence/02-reader-before-analyze.png</t>
        </is>
      </c>
      <c r="I5" s="2" t="inlineStr">
        <is>
          <t>Both</t>
        </is>
      </c>
      <c r="J5" s="2" t="inlineStr">
        <is>
          <t>Experimental</t>
        </is>
      </c>
      <c r="K5" s="2" t="inlineStr">
        <is>
          <t>Contract</t>
        </is>
      </c>
      <c r="L5" s="2" t="inlineStr">
        <is>
          <t>High</t>
        </is>
      </c>
      <c r="M5" s="2" t="inlineStr">
        <is>
          <t>High</t>
        </is>
      </c>
      <c r="N5" s="2" t="inlineStr">
        <is>
          <t>TRUE</t>
        </is>
      </c>
      <c r="O5" s="2" t="inlineStr">
        <is>
          <t>Not fully tested</t>
        </is>
      </c>
      <c r="P5" s="2" t="inlineStr">
        <is>
          <t>Fixture env skips live send</t>
        </is>
      </c>
    </row>
    <row r="6" ht="48" customHeight="1">
      <c r="A6" s="2" t="inlineStr">
        <is>
          <t>F-0005</t>
        </is>
      </c>
      <c r="B6" s="2" t="inlineStr">
        <is>
          <t>Reader</t>
        </is>
      </c>
      <c r="C6" s="2" t="inlineStr">
        <is>
          <t>Consent alert</t>
        </is>
      </c>
      <c r="D6" s="2" t="inlineStr">
        <is>
          <t>Local user</t>
        </is>
      </c>
      <c r="E6" s="2" t="inlineStr">
        <is>
          <t>As a user, I want a confirmation that names TypeSafe before a real send, so that I can refuse.</t>
        </is>
      </c>
      <c r="F6" s="2" t="inlineStr">
        <is>
          <t>Named disclosure</t>
        </is>
      </c>
      <c r="G6" s="2" t="inlineStr">
        <is>
          <t>alert Analyze with TypeSafe?</t>
        </is>
      </c>
      <c r="H6" s="2" t="inlineStr">
        <is>
          <t>Code only in this fixture environment</t>
        </is>
      </c>
      <c r="I6" s="2" t="inlineStr">
        <is>
          <t>Code only</t>
        </is>
      </c>
      <c r="J6" s="2" t="inlineStr">
        <is>
          <t>Experimental</t>
        </is>
      </c>
      <c r="K6" s="2" t="inlineStr">
        <is>
          <t>Contract</t>
        </is>
      </c>
      <c r="L6" s="2" t="inlineStr">
        <is>
          <t>Medium</t>
        </is>
      </c>
      <c r="M6" s="2" t="inlineStr">
        <is>
          <t>High</t>
        </is>
      </c>
      <c r="N6" s="2" t="inlineStr">
        <is>
          <t>TRUE</t>
        </is>
      </c>
      <c r="O6" s="2" t="inlineStr">
        <is>
          <t>Blocked</t>
        </is>
      </c>
      <c r="P6" s="2" t="inlineStr">
        <is>
          <t>Fixture env does not show consent</t>
        </is>
      </c>
    </row>
    <row r="7" ht="48" customHeight="1">
      <c r="A7" s="2" t="inlineStr">
        <is>
          <t>F-0006</t>
        </is>
      </c>
      <c r="B7" s="2" t="inlineStr">
        <is>
          <t>Reader</t>
        </is>
      </c>
      <c r="C7" s="2" t="inlineStr">
        <is>
          <t>Proposal list</t>
        </is>
      </c>
      <c r="D7" s="2" t="inlineStr">
        <is>
          <t>Local user</t>
        </is>
      </c>
      <c r="E7" s="2" t="inlineStr">
        <is>
          <t>As a user, I want decisions, commitments, and open questions listed separately, so that I can tell them apart.</t>
        </is>
      </c>
      <c r="F7" s="2" t="inlineStr">
        <is>
          <t>Kind grouping</t>
        </is>
      </c>
      <c r="G7" s="2" t="inlineStr">
        <is>
          <t>itemGroup Decisions/Commitments/Open questions</t>
        </is>
      </c>
      <c r="H7" s="2" t="inlineStr">
        <is>
          <t>qa/evidence/03-reader-after-analyze.png</t>
        </is>
      </c>
      <c r="I7" s="2" t="inlineStr">
        <is>
          <t>Both</t>
        </is>
      </c>
      <c r="J7" s="2" t="inlineStr">
        <is>
          <t>Experimental</t>
        </is>
      </c>
      <c r="K7" s="2" t="inlineStr">
        <is>
          <t>Contract</t>
        </is>
      </c>
      <c r="L7" s="2" t="inlineStr">
        <is>
          <t>High</t>
        </is>
      </c>
      <c r="M7" s="2" t="inlineStr">
        <is>
          <t>High</t>
        </is>
      </c>
      <c r="N7" s="2" t="inlineStr">
        <is>
          <t>TRUE</t>
        </is>
      </c>
      <c r="O7" s="2" t="inlineStr">
        <is>
          <t>Not fully tested</t>
        </is>
      </c>
      <c r="P7" s="2" t="inlineStr"/>
    </row>
    <row r="8" ht="48" customHeight="1">
      <c r="A8" s="2" t="inlineStr">
        <is>
          <t>F-0007</t>
        </is>
      </c>
      <c r="B8" s="2" t="inlineStr">
        <is>
          <t>Reader</t>
        </is>
      </c>
      <c r="C8" s="2" t="inlineStr">
        <is>
          <t>Confirm</t>
        </is>
      </c>
      <c r="D8" s="2" t="inlineStr">
        <is>
          <t>Local user</t>
        </is>
      </c>
      <c r="E8" s="2" t="inlineStr">
        <is>
          <t>As a user, I want to confirm a proposal, so that my judgment is stored separately from the machine label.</t>
        </is>
      </c>
      <c r="F8" s="2" t="inlineStr">
        <is>
          <t>Human review</t>
        </is>
      </c>
      <c r="G8" s="2" t="inlineStr">
        <is>
          <t>reviewInsight confirmed</t>
        </is>
      </c>
      <c r="H8" s="2" t="inlineStr">
        <is>
          <t>qa/evidence/06-after-confirm.png</t>
        </is>
      </c>
      <c r="I8" s="2" t="inlineStr">
        <is>
          <t>Both</t>
        </is>
      </c>
      <c r="J8" s="2" t="inlineStr">
        <is>
          <t>Experimental</t>
        </is>
      </c>
      <c r="K8" s="2" t="inlineStr">
        <is>
          <t>Contract</t>
        </is>
      </c>
      <c r="L8" s="2" t="inlineStr">
        <is>
          <t>High</t>
        </is>
      </c>
      <c r="M8" s="2" t="inlineStr">
        <is>
          <t>Medium</t>
        </is>
      </c>
      <c r="N8" s="2" t="inlineStr">
        <is>
          <t>TRUE</t>
        </is>
      </c>
      <c r="O8" s="2" t="inlineStr">
        <is>
          <t>Not fully tested</t>
        </is>
      </c>
      <c r="P8" s="2" t="inlineStr"/>
    </row>
    <row r="9" ht="48" customHeight="1">
      <c r="A9" s="2" t="inlineStr">
        <is>
          <t>F-0008</t>
        </is>
      </c>
      <c r="B9" s="2" t="inlineStr">
        <is>
          <t>Reader</t>
        </is>
      </c>
      <c r="C9" s="2" t="inlineStr">
        <is>
          <t>Dismiss</t>
        </is>
      </c>
      <c r="D9" s="2" t="inlineStr">
        <is>
          <t>Local user</t>
        </is>
      </c>
      <c r="E9" s="2" t="inlineStr">
        <is>
          <t>As a user, I want to dismiss a proposal, so that it leaves the working list without changing the transcript.</t>
        </is>
      </c>
      <c r="F9" s="2" t="inlineStr">
        <is>
          <t>Reject interpretation</t>
        </is>
      </c>
      <c r="G9" s="2" t="inlineStr">
        <is>
          <t>reviewInsight dismissed</t>
        </is>
      </c>
      <c r="H9" s="2" t="inlineStr">
        <is>
          <t>qa/evidence/08-source-and-dismiss.png</t>
        </is>
      </c>
      <c r="I9" s="2" t="inlineStr">
        <is>
          <t>Both</t>
        </is>
      </c>
      <c r="J9" s="2" t="inlineStr">
        <is>
          <t>Experimental</t>
        </is>
      </c>
      <c r="K9" s="2" t="inlineStr">
        <is>
          <t>Contract</t>
        </is>
      </c>
      <c r="L9" s="2" t="inlineStr">
        <is>
          <t>High</t>
        </is>
      </c>
      <c r="M9" s="2" t="inlineStr">
        <is>
          <t>Medium</t>
        </is>
      </c>
      <c r="N9" s="2" t="inlineStr">
        <is>
          <t>TRUE</t>
        </is>
      </c>
      <c r="O9" s="2" t="inlineStr">
        <is>
          <t>Not fully tested</t>
        </is>
      </c>
      <c r="P9" s="2" t="inlineStr"/>
    </row>
    <row r="10" ht="48" customHeight="1">
      <c r="A10" s="2" t="inlineStr">
        <is>
          <t>F-0009</t>
        </is>
      </c>
      <c r="B10" s="2" t="inlineStr">
        <is>
          <t>Reader</t>
        </is>
      </c>
      <c r="C10" s="2" t="inlineStr">
        <is>
          <t>Source</t>
        </is>
      </c>
      <c r="D10" s="2" t="inlineStr">
        <is>
          <t>Local user</t>
        </is>
      </c>
      <c r="E10" s="2" t="inlineStr">
        <is>
          <t>As a user, I want to jump to the exact transcript span, so that I can check the quote.</t>
        </is>
      </c>
      <c r="F10" s="2" t="inlineStr">
        <is>
          <t>Evidence link</t>
        </is>
      </c>
      <c r="G10" s="2" t="inlineStr">
        <is>
          <t>revealInsightSource + highlightedTranscript</t>
        </is>
      </c>
      <c r="H10" s="2" t="inlineStr">
        <is>
          <t>qa/evidence/08-source-and-dismiss.png</t>
        </is>
      </c>
      <c r="I10" s="2" t="inlineStr">
        <is>
          <t>Both</t>
        </is>
      </c>
      <c r="J10" s="2" t="inlineStr">
        <is>
          <t>Experimental</t>
        </is>
      </c>
      <c r="K10" s="2" t="inlineStr">
        <is>
          <t>Contract</t>
        </is>
      </c>
      <c r="L10" s="2" t="inlineStr">
        <is>
          <t>High</t>
        </is>
      </c>
      <c r="M10" s="2" t="inlineStr">
        <is>
          <t>High</t>
        </is>
      </c>
      <c r="N10" s="2" t="inlineStr">
        <is>
          <t>TRUE</t>
        </is>
      </c>
      <c r="O10" s="2" t="inlineStr">
        <is>
          <t>Not fully tested</t>
        </is>
      </c>
      <c r="P10" s="2" t="inlineStr">
        <is>
          <t>Highlight weak; Source not a separate AX control</t>
        </is>
      </c>
    </row>
    <row r="11" ht="48" customHeight="1">
      <c r="A11" s="2" t="inlineStr">
        <is>
          <t>F-0010</t>
        </is>
      </c>
      <c r="B11" s="2" t="inlineStr">
        <is>
          <t>Reader</t>
        </is>
      </c>
      <c r="C11" s="2" t="inlineStr">
        <is>
          <t>Export analysis</t>
        </is>
      </c>
      <c r="D11" s="2" t="inlineStr">
        <is>
          <t>Local user</t>
        </is>
      </c>
      <c r="E11" s="2" t="inlineStr">
        <is>
          <t>As a user, I want to export the analysis as Markdown, so that I can share provenance without fake deep links.</t>
        </is>
      </c>
      <c r="F11" s="2" t="inlineStr">
        <is>
          <t>Optional export</t>
        </is>
      </c>
      <c r="G11" s="2" t="inlineStr">
        <is>
          <t>Export analysis as Markdown</t>
        </is>
      </c>
      <c r="H11" s="2" t="inlineStr">
        <is>
          <t>AX button present; file dialog not completed</t>
        </is>
      </c>
      <c r="I11" s="2" t="inlineStr">
        <is>
          <t>Both</t>
        </is>
      </c>
      <c r="J11" s="2" t="inlineStr">
        <is>
          <t>Experimental</t>
        </is>
      </c>
      <c r="K11" s="2" t="inlineStr">
        <is>
          <t>Contract</t>
        </is>
      </c>
      <c r="L11" s="2" t="inlineStr">
        <is>
          <t>Medium</t>
        </is>
      </c>
      <c r="M11" s="2" t="inlineStr">
        <is>
          <t>Low</t>
        </is>
      </c>
      <c r="N11" s="2" t="inlineStr">
        <is>
          <t>TRUE</t>
        </is>
      </c>
      <c r="O11" s="2" t="inlineStr">
        <is>
          <t>Not fully tested</t>
        </is>
      </c>
      <c r="P11" s="2" t="inlineStr"/>
    </row>
    <row r="12" ht="48" customHeight="1">
      <c r="A12" s="2" t="inlineStr">
        <is>
          <t>F-0011</t>
        </is>
      </c>
      <c r="B12" s="2" t="inlineStr">
        <is>
          <t>Persistence</t>
        </is>
      </c>
      <c r="C12" s="2" t="inlineStr">
        <is>
          <t>insights.json sidecar</t>
        </is>
      </c>
      <c r="D12" s="2" t="inlineStr">
        <is>
          <t>Local user</t>
        </is>
      </c>
      <c r="E12" s="2" t="inlineStr">
        <is>
          <t>As a user, I want analysis to survive reopen without rewriting session.json, so that old recordings stay loadable.</t>
        </is>
      </c>
      <c r="F12" s="2" t="inlineStr">
        <is>
          <t>Safe persistence</t>
        </is>
      </c>
      <c r="G12" s="2" t="inlineStr">
        <is>
          <t>LocalSessionInsightStore sidecar</t>
        </is>
      </c>
      <c r="H12" s="2" t="inlineStr">
        <is>
          <t>insights.json on disk after confirm/dismiss</t>
        </is>
      </c>
      <c r="I12" s="2" t="inlineStr">
        <is>
          <t>Both</t>
        </is>
      </c>
      <c r="J12" s="2" t="inlineStr">
        <is>
          <t>Experimental</t>
        </is>
      </c>
      <c r="K12" s="2" t="inlineStr">
        <is>
          <t>Contract</t>
        </is>
      </c>
      <c r="L12" s="2" t="inlineStr">
        <is>
          <t>High</t>
        </is>
      </c>
      <c r="M12" s="2" t="inlineStr">
        <is>
          <t>High</t>
        </is>
      </c>
      <c r="N12" s="2" t="inlineStr">
        <is>
          <t>TRUE</t>
        </is>
      </c>
      <c r="O12" s="2" t="inlineStr">
        <is>
          <t>Not fully tested</t>
        </is>
      </c>
      <c r="P12" s="2" t="inlineStr"/>
    </row>
    <row r="13" ht="48" customHeight="1">
      <c r="A13" s="2" t="inlineStr">
        <is>
          <t>F-0012</t>
        </is>
      </c>
      <c r="B13" s="2" t="inlineStr">
        <is>
          <t>Classification</t>
        </is>
      </c>
      <c r="C13" s="2" t="inlineStr">
        <is>
          <t>Suggestion vs decision</t>
        </is>
      </c>
      <c r="D13" s="2" t="inlineStr">
        <is>
          <t>Local user</t>
        </is>
      </c>
      <c r="E13" s="2" t="inlineStr">
        <is>
          <t>As a user, I want suggestions not listed as decisions, so that I do not treat maybe as a close.</t>
        </is>
      </c>
      <c r="F13" s="2" t="inlineStr">
        <is>
          <t>Do not task-ify discussion</t>
        </is>
      </c>
      <c r="G13" s="2" t="inlineStr">
        <is>
          <t>Fixture + UI: אולי נעלה בראשון absent from Decisions</t>
        </is>
      </c>
      <c r="H13" s="2" t="inlineStr">
        <is>
          <t>qa/evidence/03-reader-after-analyze.png</t>
        </is>
      </c>
      <c r="I13" s="2" t="inlineStr">
        <is>
          <t>Both</t>
        </is>
      </c>
      <c r="J13" s="2" t="inlineStr">
        <is>
          <t>Experimental</t>
        </is>
      </c>
      <c r="K13" s="2" t="inlineStr">
        <is>
          <t>Contract</t>
        </is>
      </c>
      <c r="L13" s="2" t="inlineStr">
        <is>
          <t>High</t>
        </is>
      </c>
      <c r="M13" s="2" t="inlineStr">
        <is>
          <t>High</t>
        </is>
      </c>
      <c r="N13" s="2" t="inlineStr">
        <is>
          <t>TRUE</t>
        </is>
      </c>
      <c r="O13" s="2" t="inlineStr">
        <is>
          <t>Not fully tested</t>
        </is>
      </c>
      <c r="P13" s="2" t="inlineStr">
        <is>
          <t>Fixture classification, not live Jev quality</t>
        </is>
      </c>
    </row>
    <row r="14" ht="48" customHeight="1">
      <c r="A14" s="2" t="inlineStr">
        <is>
          <t>F-0013</t>
        </is>
      </c>
      <c r="B14" s="2" t="inlineStr">
        <is>
          <t>Reader</t>
        </is>
      </c>
      <c r="C14" s="2" t="inlineStr">
        <is>
          <t>Hebrew RTL</t>
        </is>
      </c>
      <c r="D14" s="2" t="inlineStr">
        <is>
          <t>Hebrew-speaking user</t>
        </is>
      </c>
      <c r="E14" s="2" t="inlineStr">
        <is>
          <t>As a Hebrew user, I want mixed transcript and quotes right-aligned, so that I can read them naturally.</t>
        </is>
      </c>
      <c r="F14" s="2" t="inlineStr">
        <is>
          <t>Readable Hebrew</t>
        </is>
      </c>
      <c r="G14" s="2" t="inlineStr">
        <is>
          <t>LocalTranscriptTextDirection + RTL rows</t>
        </is>
      </c>
      <c r="H14" s="2" t="inlineStr">
        <is>
          <t>qa/evidence/02-reader-before-analyze.png</t>
        </is>
      </c>
      <c r="I14" s="2" t="inlineStr">
        <is>
          <t>Both</t>
        </is>
      </c>
      <c r="J14" s="2" t="inlineStr">
        <is>
          <t>Experimental</t>
        </is>
      </c>
      <c r="K14" s="2" t="inlineStr">
        <is>
          <t>Contract</t>
        </is>
      </c>
      <c r="L14" s="2" t="inlineStr">
        <is>
          <t>High</t>
        </is>
      </c>
      <c r="M14" s="2" t="inlineStr">
        <is>
          <t>Medium</t>
        </is>
      </c>
      <c r="N14" s="2" t="inlineStr">
        <is>
          <t>TRUE</t>
        </is>
      </c>
      <c r="O14" s="2" t="inlineStr">
        <is>
          <t>Not fully tested</t>
        </is>
      </c>
      <c r="P14" s="2" t="inlineStr"/>
    </row>
    <row r="15" ht="48" customHeight="1">
      <c r="A15" s="2" t="inlineStr">
        <is>
          <t>F-0014</t>
        </is>
      </c>
      <c r="B15" s="2" t="inlineStr">
        <is>
          <t>Reader</t>
        </is>
      </c>
      <c r="C15" s="2" t="inlineStr">
        <is>
          <t>Empty open questions</t>
        </is>
      </c>
      <c r="D15" s="2" t="inlineStr">
        <is>
          <t>Local user</t>
        </is>
      </c>
      <c r="E15" s="2" t="inlineStr">
        <is>
          <t>As a user, I want empty kinds to say none in the analyzed coverage, so that I do not think the whole meeting was scanned as questions.</t>
        </is>
      </c>
      <c r="F15" s="2" t="inlineStr">
        <is>
          <t>Honest empty copy</t>
        </is>
      </c>
      <c r="G15" s="2" t="inlineStr">
        <is>
          <t>None in the analyzed coverage.</t>
        </is>
      </c>
      <c r="H15" s="2" t="inlineStr">
        <is>
          <t>qa/evidence/03-reader-after-analyze.png</t>
        </is>
      </c>
      <c r="I15" s="2" t="inlineStr">
        <is>
          <t>Both</t>
        </is>
      </c>
      <c r="J15" s="2" t="inlineStr">
        <is>
          <t>Experimental</t>
        </is>
      </c>
      <c r="K15" s="2" t="inlineStr">
        <is>
          <t>Contract</t>
        </is>
      </c>
      <c r="L15" s="2" t="inlineStr">
        <is>
          <t>High</t>
        </is>
      </c>
      <c r="M15" s="2" t="inlineStr">
        <is>
          <t>Low</t>
        </is>
      </c>
      <c r="N15" s="2" t="inlineStr">
        <is>
          <t>TRUE</t>
        </is>
      </c>
      <c r="O15" s="2" t="inlineStr">
        <is>
          <t>Not fully tested</t>
        </is>
      </c>
      <c r="P15" s="2" t="inlineStr"/>
    </row>
    <row r="16" ht="48" customHeight="1">
      <c r="A16" s="2" t="inlineStr">
        <is>
          <t>F-0015</t>
        </is>
      </c>
      <c r="B16" s="2" t="inlineStr">
        <is>
          <t>Export isolation</t>
        </is>
      </c>
      <c r="C16" s="2" t="inlineStr">
        <is>
          <t>Existing prompt package</t>
        </is>
      </c>
      <c r="D16" s="2" t="inlineStr">
        <is>
          <t>Local user</t>
        </is>
      </c>
      <c r="E16" s="2" t="inlineStr">
        <is>
          <t>As a user, I want ordinary session export packages unchanged, so that analysis is not silently injected.</t>
        </is>
      </c>
      <c r="F16" s="2" t="inlineStr">
        <is>
          <t>No silent export</t>
        </is>
      </c>
      <c r="G16" s="2" t="inlineStr">
        <is>
          <t>LocalSessionPromptPackageBuilder untouched for insights</t>
        </is>
      </c>
      <c r="H16" s="2" t="inlineStr">
        <is>
          <t>session-package.md has no TypeSafe/insights</t>
        </is>
      </c>
      <c r="I16" s="2" t="inlineStr">
        <is>
          <t>Both</t>
        </is>
      </c>
      <c r="J16" s="2" t="inlineStr">
        <is>
          <t>Experimental</t>
        </is>
      </c>
      <c r="K16" s="2" t="inlineStr">
        <is>
          <t>Contract</t>
        </is>
      </c>
      <c r="L16" s="2" t="inlineStr">
        <is>
          <t>High</t>
        </is>
      </c>
      <c r="M16" s="2" t="inlineStr">
        <is>
          <t>Medium</t>
        </is>
      </c>
      <c r="N16" s="2" t="inlineStr">
        <is>
          <t>TRUE</t>
        </is>
      </c>
      <c r="O16" s="2" t="inlineStr">
        <is>
          <t>Not fully tested</t>
        </is>
      </c>
      <c r="P16" s="2" t="inlineStr"/>
    </row>
    <row r="17" ht="48" customHeight="1">
      <c r="A17" s="2" t="inlineStr">
        <is>
          <t>F-0016</t>
        </is>
      </c>
      <c r="B17" s="2" t="inlineStr">
        <is>
          <t>Trust</t>
        </is>
      </c>
      <c r="C17" s="2" t="inlineStr">
        <is>
          <t>Experimental badge</t>
        </is>
      </c>
      <c r="D17" s="2" t="inlineStr">
        <is>
          <t>Local user</t>
        </is>
      </c>
      <c r="E17" s="2" t="inlineStr">
        <is>
          <t>As a user, I want the analysis labeled Experimental, so that I do not treat it as a guaranteed meeting record.</t>
        </is>
      </c>
      <c r="F17" s="2" t="inlineStr">
        <is>
          <t>No false confidence</t>
        </is>
      </c>
      <c r="G17" s="2" t="inlineStr">
        <is>
          <t>Experimental label</t>
        </is>
      </c>
      <c r="H17" s="2" t="inlineStr">
        <is>
          <t>qa/evidence/02-reader-before-analyze.png</t>
        </is>
      </c>
      <c r="I17" s="2" t="inlineStr">
        <is>
          <t>Both</t>
        </is>
      </c>
      <c r="J17" s="2" t="inlineStr">
        <is>
          <t>Experimental</t>
        </is>
      </c>
      <c r="K17" s="2" t="inlineStr">
        <is>
          <t>Contract</t>
        </is>
      </c>
      <c r="L17" s="2" t="inlineStr">
        <is>
          <t>High</t>
        </is>
      </c>
      <c r="M17" s="2" t="inlineStr">
        <is>
          <t>Medium</t>
        </is>
      </c>
      <c r="N17" s="2" t="inlineStr">
        <is>
          <t>TRUE</t>
        </is>
      </c>
      <c r="O17" s="2" t="inlineStr">
        <is>
          <t>Not fully tested</t>
        </is>
      </c>
      <c r="P17" s="2" t="inlineStr"/>
    </row>
    <row r="18" ht="48" customHeight="1">
      <c r="A18" s="2" t="inlineStr">
        <is>
          <t>F-0017</t>
        </is>
      </c>
      <c r="B18" s="2" t="inlineStr">
        <is>
          <t>Neighbor</t>
        </is>
      </c>
      <c r="C18" s="2" t="inlineStr">
        <is>
          <t>Reader toolbar</t>
        </is>
      </c>
      <c r="D18" s="2" t="inlineStr">
        <is>
          <t>Local user</t>
        </is>
      </c>
      <c r="E18" s="2" t="inlineStr">
        <is>
          <t>As a user, I want Import, Transcribe, and transcript Export still in the toolbar, so that analysis does not replace existing tools.</t>
        </is>
      </c>
      <c r="F18" s="2" t="inlineStr">
        <is>
          <t>Preserve reader tools</t>
        </is>
      </c>
      <c r="G18" s="2" t="inlineStr">
        <is>
          <t>CepessaSessionReadingToolbar</t>
        </is>
      </c>
      <c r="H18" s="2" t="inlineStr">
        <is>
          <t>qa/evidence/02-reader-before-analyze.png</t>
        </is>
      </c>
      <c r="I18" s="2" t="inlineStr">
        <is>
          <t>Both</t>
        </is>
      </c>
      <c r="J18" s="2" t="inlineStr">
        <is>
          <t>Experimental</t>
        </is>
      </c>
      <c r="K18" s="2" t="inlineStr">
        <is>
          <t>Inferred</t>
        </is>
      </c>
      <c r="L18" s="2" t="inlineStr">
        <is>
          <t>High</t>
        </is>
      </c>
      <c r="M18" s="2" t="inlineStr">
        <is>
          <t>Medium</t>
        </is>
      </c>
      <c r="N18" s="2" t="inlineStr">
        <is>
          <t>TRUE</t>
        </is>
      </c>
      <c r="O18" s="2" t="inlineStr">
        <is>
          <t>Not fully tested</t>
        </is>
      </c>
      <c r="P18" s="2" t="inlineStr">
        <is>
          <t>Presence only; transcribe not executed</t>
        </is>
      </c>
    </row>
    <row r="19" ht="48" customHeight="1">
      <c r="A19" s="2" t="inlineStr">
        <is>
          <t>F-0018</t>
        </is>
      </c>
      <c r="B19" s="2" t="inlineStr">
        <is>
          <t>Analysis</t>
        </is>
      </c>
      <c r="C19" s="2" t="inlineStr">
        <is>
          <t>Cancel in-flight</t>
        </is>
      </c>
      <c r="D19" s="2" t="inlineStr">
        <is>
          <t>Local user</t>
        </is>
      </c>
      <c r="E19" s="2" t="inlineStr">
        <is>
          <t>As a user, I want to cancel a running analysis, so that I can stop a send.</t>
        </is>
      </c>
      <c r="F19" s="2" t="inlineStr">
        <is>
          <t>Stop in-flight work</t>
        </is>
      </c>
      <c r="G19" s="2" t="inlineStr">
        <is>
          <t>Cancel analysis button when status running</t>
        </is>
      </c>
      <c r="H19" s="2" t="inlineStr">
        <is>
          <t>Not observed; fixture finished instantly</t>
        </is>
      </c>
      <c r="I19" s="2" t="inlineStr">
        <is>
          <t>Code only</t>
        </is>
      </c>
      <c r="J19" s="2" t="inlineStr">
        <is>
          <t>Experimental</t>
        </is>
      </c>
      <c r="K19" s="2" t="inlineStr">
        <is>
          <t>Contract</t>
        </is>
      </c>
      <c r="L19" s="2" t="inlineStr">
        <is>
          <t>Medium</t>
        </is>
      </c>
      <c r="M19" s="2" t="inlineStr">
        <is>
          <t>Medium</t>
        </is>
      </c>
      <c r="N19" s="2" t="inlineStr">
        <is>
          <t>TRUE</t>
        </is>
      </c>
      <c r="O19" s="2" t="inlineStr">
        <is>
          <t>Blocked</t>
        </is>
      </c>
      <c r="P19" s="2" t="inlineStr">
        <is>
          <t>Too fast to click Cancel in this fixture</t>
        </is>
      </c>
    </row>
    <row r="20" ht="48" customHeight="1">
      <c r="A20" s="2" t="inlineStr">
        <is>
          <t>F-0019</t>
        </is>
      </c>
      <c r="B20" s="2" t="inlineStr">
        <is>
          <t>Failure</t>
        </is>
      </c>
      <c r="C20" s="2" t="inlineStr">
        <is>
          <t>Missing key</t>
        </is>
      </c>
      <c r="D20" s="2" t="inlineStr">
        <is>
          <t>Local user</t>
        </is>
      </c>
      <c r="E20" s="2" t="inlineStr">
        <is>
          <t>As a user, I want a missing-key state that does not send the transcript, so that a misconfigured Mac stays local.</t>
        </is>
      </c>
      <c r="F20" s="2" t="inlineStr">
        <is>
          <t>Fail closed</t>
        </is>
      </c>
      <c r="G20" s="2" t="inlineStr">
        <is>
          <t>TypeSafeSessionInsightClient missingCredential</t>
        </is>
      </c>
      <c r="H20" s="2" t="inlineStr">
        <is>
          <t>Unit tests; Settings shows No key stored</t>
        </is>
      </c>
      <c r="I20" s="2" t="inlineStr">
        <is>
          <t>Both</t>
        </is>
      </c>
      <c r="J20" s="2" t="inlineStr">
        <is>
          <t>Experimental</t>
        </is>
      </c>
      <c r="K20" s="2" t="inlineStr">
        <is>
          <t>Contract</t>
        </is>
      </c>
      <c r="L20" s="2" t="inlineStr">
        <is>
          <t>High</t>
        </is>
      </c>
      <c r="M20" s="2" t="inlineStr">
        <is>
          <t>High</t>
        </is>
      </c>
      <c r="N20" s="2" t="inlineStr">
        <is>
          <t>TRUE</t>
        </is>
      </c>
      <c r="O20" s="2" t="inlineStr">
        <is>
          <t>Not fully tested</t>
        </is>
      </c>
      <c r="P20" s="2" t="inlineStr">
        <is>
          <t>Live HTTP missing-key path not clicked in UI</t>
        </is>
      </c>
    </row>
    <row r="21" ht="48" customHeight="1">
      <c r="A21" s="2" t="inlineStr">
        <is>
          <t>F-0020</t>
        </is>
      </c>
      <c r="B21" s="2" t="inlineStr">
        <is>
          <t>Accessibility</t>
        </is>
      </c>
      <c r="C21" s="2" t="inlineStr">
        <is>
          <t>Per-action controls</t>
        </is>
      </c>
      <c r="D21" s="2" t="inlineStr">
        <is>
          <t>Keyboard/VoiceOver user</t>
        </is>
      </c>
      <c r="E21" s="2" t="inlineStr">
        <is>
          <t>As a VoiceOver user, I want Source, Confirm, and Dismiss as separate controls, so that I can operate one action.</t>
        </is>
      </c>
      <c r="F21" s="2" t="inlineStr">
        <is>
          <t>Independent actions</t>
        </is>
      </c>
      <c r="G21" s="2" t="inlineStr">
        <is>
          <t>insightRow accessibilityElement children combine</t>
        </is>
      </c>
      <c r="H21" s="2" t="inlineStr">
        <is>
          <t>agent-swift: Source not found as element</t>
        </is>
      </c>
      <c r="I21" s="2" t="inlineStr">
        <is>
          <t>Both</t>
        </is>
      </c>
      <c r="J21" s="2" t="inlineStr">
        <is>
          <t>Experimental</t>
        </is>
      </c>
      <c r="K21" s="2" t="inlineStr">
        <is>
          <t>Contract</t>
        </is>
      </c>
      <c r="L21" s="2" t="inlineStr">
        <is>
          <t>High</t>
        </is>
      </c>
      <c r="M21" s="2" t="inlineStr">
        <is>
          <t>High</t>
        </is>
      </c>
      <c r="N21" s="2" t="inlineStr">
        <is>
          <t>TRUE</t>
        </is>
      </c>
      <c r="O21" s="2" t="inlineStr">
        <is>
          <t>Failing</t>
        </is>
      </c>
      <c r="P21" s="2" t="inlineStr">
        <is>
          <t>Combined AX node</t>
        </is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1" t="inlineStr">
        <is>
          <t>behavior_id</t>
        </is>
      </c>
      <c r="B1" s="1" t="inlineStr">
        <is>
          <t>feature_id</t>
        </is>
      </c>
      <c r="C1" s="1" t="inlineStr">
        <is>
          <t>preconditions</t>
        </is>
      </c>
      <c r="D1" s="1" t="inlineStr">
        <is>
          <t>given</t>
        </is>
      </c>
      <c r="E1" s="1" t="inlineStr">
        <is>
          <t>when</t>
        </is>
      </c>
      <c r="F1" s="1" t="inlineStr">
        <is>
          <t>then_expected</t>
        </is>
      </c>
      <c r="G1" s="1" t="inlineStr">
        <is>
          <t>behavior_type</t>
        </is>
      </c>
      <c r="H1" s="1" t="inlineStr">
        <is>
          <t>test_method</t>
        </is>
      </c>
      <c r="I1" s="1" t="inlineStr">
        <is>
          <t>automation_candidate</t>
        </is>
      </c>
      <c r="J1" s="1" t="inlineStr">
        <is>
          <t>risk</t>
        </is>
      </c>
      <c r="K1" s="1" t="inlineStr">
        <is>
          <t>current_result</t>
        </is>
      </c>
      <c r="L1" s="1" t="inlineStr">
        <is>
          <t>latest_test_run_id</t>
        </is>
      </c>
      <c r="M1" s="1" t="inlineStr">
        <is>
          <t>notes</t>
        </is>
      </c>
    </row>
    <row r="2" ht="48" customHeight="1">
      <c r="A2" s="2" t="inlineStr">
        <is>
          <t>B-0001</t>
        </is>
      </c>
      <c r="B2" s="2" t="inlineStr">
        <is>
          <t>F-0001</t>
        </is>
      </c>
      <c r="C2" s="2" t="inlineStr">
        <is>
          <t>Settings open</t>
        </is>
      </c>
      <c r="D2" s="2" t="inlineStr">
        <is>
          <t>Settings is open</t>
        </is>
      </c>
      <c r="E2" s="2" t="inlineStr">
        <is>
          <t>The user reads Cloud Analysis</t>
        </is>
      </c>
      <c r="F2" s="2" t="inlineStr">
        <is>
          <t>Copy says analysis is off by default and names TypeSafe</t>
        </is>
      </c>
      <c r="G2" s="2" t="inlineStr">
        <is>
          <t>Happy path</t>
        </is>
      </c>
      <c r="H2" s="2" t="inlineStr">
        <is>
          <t>Runtime UI</t>
        </is>
      </c>
      <c r="I2" s="2" t="inlineStr">
        <is>
          <t>FALSE</t>
        </is>
      </c>
      <c r="J2" s="2" t="inlineStr">
        <is>
          <t>Medium</t>
        </is>
      </c>
      <c r="K2" s="2" t="inlineStr"/>
      <c r="L2" s="2" t="inlineStr"/>
      <c r="M2" s="2" t="inlineStr"/>
    </row>
    <row r="3" ht="48" customHeight="1">
      <c r="A3" s="2" t="inlineStr">
        <is>
          <t>B-0002</t>
        </is>
      </c>
      <c r="B3" s="2" t="inlineStr">
        <is>
          <t>F-0002</t>
        </is>
      </c>
      <c r="C3" s="2" t="inlineStr">
        <is>
          <t>Settings open, no key</t>
        </is>
      </c>
      <c r="D3" s="2" t="inlineStr">
        <is>
          <t>No key stored</t>
        </is>
      </c>
      <c r="E3" s="2" t="inlineStr">
        <is>
          <t>The user looks at the key row</t>
        </is>
      </c>
      <c r="F3" s="2" t="inlineStr">
        <is>
          <t>UI says No key stored and Save is disabled until text is entered</t>
        </is>
      </c>
      <c r="G3" s="2" t="inlineStr">
        <is>
          <t>Empty</t>
        </is>
      </c>
      <c r="H3" s="2" t="inlineStr">
        <is>
          <t>Runtime UI</t>
        </is>
      </c>
      <c r="I3" s="2" t="inlineStr">
        <is>
          <t>FALSE</t>
        </is>
      </c>
      <c r="J3" s="2" t="inlineStr">
        <is>
          <t>Medium</t>
        </is>
      </c>
      <c r="K3" s="2" t="inlineStr"/>
      <c r="L3" s="2" t="inlineStr"/>
      <c r="M3" s="2" t="inlineStr"/>
    </row>
    <row r="4" ht="48" customHeight="1">
      <c r="A4" s="2" t="inlineStr">
        <is>
          <t>B-0003</t>
        </is>
      </c>
      <c r="B4" s="2" t="inlineStr">
        <is>
          <t>F-0003</t>
        </is>
      </c>
      <c r="C4" s="2" t="inlineStr">
        <is>
          <t>Insight fixture session open</t>
        </is>
      </c>
      <c r="D4" s="2" t="inlineStr">
        <is>
          <t>A saved Hebrew transcript is selected</t>
        </is>
      </c>
      <c r="E4" s="2" t="inlineStr">
        <is>
          <t>The reader loads</t>
        </is>
      </c>
      <c r="F4" s="2" t="inlineStr">
        <is>
          <t>A Decisions block appears above the transcript</t>
        </is>
      </c>
      <c r="G4" s="2" t="inlineStr">
        <is>
          <t>Happy path</t>
        </is>
      </c>
      <c r="H4" s="2" t="inlineStr">
        <is>
          <t>Runtime UI</t>
        </is>
      </c>
      <c r="I4" s="2" t="inlineStr">
        <is>
          <t>FALSE</t>
        </is>
      </c>
      <c r="J4" s="2" t="inlineStr">
        <is>
          <t>Medium</t>
        </is>
      </c>
      <c r="K4" s="2" t="inlineStr"/>
      <c r="L4" s="2" t="inlineStr"/>
      <c r="M4" s="2" t="inlineStr"/>
    </row>
    <row r="5" ht="48" customHeight="1">
      <c r="A5" s="2" t="inlineStr">
        <is>
          <t>B-0004</t>
        </is>
      </c>
      <c r="B5" s="2" t="inlineStr">
        <is>
          <t>F-0004</t>
        </is>
      </c>
      <c r="C5" s="2" t="inlineStr">
        <is>
          <t>Reader open, unused analysis</t>
        </is>
      </c>
      <c r="D5" s="2" t="inlineStr">
        <is>
          <t>No analysis yet</t>
        </is>
      </c>
      <c r="E5" s="2" t="inlineStr">
        <is>
          <t>The user reads the helper text</t>
        </is>
      </c>
      <c r="F5" s="2" t="inlineStr">
        <is>
          <t>The disclosure names TypeSafe and says audio is not sent</t>
        </is>
      </c>
      <c r="G5" s="2" t="inlineStr">
        <is>
          <t>Happy path</t>
        </is>
      </c>
      <c r="H5" s="2" t="inlineStr">
        <is>
          <t>Runtime UI</t>
        </is>
      </c>
      <c r="I5" s="2" t="inlineStr">
        <is>
          <t>FALSE</t>
        </is>
      </c>
      <c r="J5" s="2" t="inlineStr">
        <is>
          <t>High</t>
        </is>
      </c>
      <c r="K5" s="2" t="inlineStr"/>
      <c r="L5" s="2" t="inlineStr"/>
      <c r="M5" s="2" t="inlineStr"/>
    </row>
    <row r="6" ht="48" customHeight="1">
      <c r="A6" s="2" t="inlineStr">
        <is>
          <t>B-0005</t>
        </is>
      </c>
      <c r="B6" s="2" t="inlineStr">
        <is>
          <t>F-0004</t>
        </is>
      </c>
      <c r="C6" s="2" t="inlineStr">
        <is>
          <t>Reader open</t>
        </is>
      </c>
      <c r="D6" s="2" t="inlineStr">
        <is>
          <t>Analyze with TypeSafe is visible</t>
        </is>
      </c>
      <c r="E6" s="2" t="inlineStr">
        <is>
          <t>The user clicks Analyze</t>
        </is>
      </c>
      <c r="F6" s="2" t="inlineStr">
        <is>
          <t>The surface fills with proposals or an explicit empty/failure state</t>
        </is>
      </c>
      <c r="G6" s="2" t="inlineStr">
        <is>
          <t>Happy path</t>
        </is>
      </c>
      <c r="H6" s="2" t="inlineStr">
        <is>
          <t>Runtime UI</t>
        </is>
      </c>
      <c r="I6" s="2" t="inlineStr">
        <is>
          <t>FALSE</t>
        </is>
      </c>
      <c r="J6" s="2" t="inlineStr">
        <is>
          <t>High</t>
        </is>
      </c>
      <c r="K6" s="2" t="inlineStr"/>
      <c r="L6" s="2" t="inlineStr"/>
      <c r="M6" s="2" t="inlineStr"/>
    </row>
    <row r="7" ht="48" customHeight="1">
      <c r="A7" s="2" t="inlineStr">
        <is>
          <t>B-0006</t>
        </is>
      </c>
      <c r="B7" s="2" t="inlineStr">
        <is>
          <t>F-0005</t>
        </is>
      </c>
      <c r="C7" s="2" t="inlineStr">
        <is>
          <t>Cloud path without fixture</t>
        </is>
      </c>
      <c r="D7" s="2" t="inlineStr">
        <is>
          <t>Feature enabled, no fixture flag</t>
        </is>
      </c>
      <c r="E7" s="2" t="inlineStr">
        <is>
          <t>The user clicks Analyze</t>
        </is>
      </c>
      <c r="F7" s="2" t="inlineStr">
        <is>
          <t>A confirmation names TypeSafe before network</t>
        </is>
      </c>
      <c r="G7" s="2" t="inlineStr">
        <is>
          <t>Permission</t>
        </is>
      </c>
      <c r="H7" s="2" t="inlineStr">
        <is>
          <t>Runtime UI</t>
        </is>
      </c>
      <c r="I7" s="2" t="inlineStr">
        <is>
          <t>FALSE</t>
        </is>
      </c>
      <c r="J7" s="2" t="inlineStr">
        <is>
          <t>High</t>
        </is>
      </c>
      <c r="K7" s="2" t="inlineStr"/>
      <c r="L7" s="2" t="inlineStr"/>
      <c r="M7" s="2" t="inlineStr">
        <is>
          <t>Fixture skips this</t>
        </is>
      </c>
    </row>
    <row r="8" ht="48" customHeight="1">
      <c r="A8" s="2" t="inlineStr">
        <is>
          <t>B-0007</t>
        </is>
      </c>
      <c r="B8" s="2" t="inlineStr">
        <is>
          <t>F-0006</t>
        </is>
      </c>
      <c r="C8" s="2" t="inlineStr">
        <is>
          <t>After analyze</t>
        </is>
      </c>
      <c r="D8" s="2" t="inlineStr">
        <is>
          <t>Fixture analysis complete</t>
        </is>
      </c>
      <c r="E8" s="2" t="inlineStr">
        <is>
          <t>The user scans groups</t>
        </is>
      </c>
      <c r="F8" s="2" t="inlineStr">
        <is>
          <t>Decisions, Commitments, and Open questions are separate headings</t>
        </is>
      </c>
      <c r="G8" s="2" t="inlineStr">
        <is>
          <t>Happy path</t>
        </is>
      </c>
      <c r="H8" s="2" t="inlineStr">
        <is>
          <t>Runtime UI</t>
        </is>
      </c>
      <c r="I8" s="2" t="inlineStr">
        <is>
          <t>FALSE</t>
        </is>
      </c>
      <c r="J8" s="2" t="inlineStr">
        <is>
          <t>High</t>
        </is>
      </c>
      <c r="K8" s="2" t="inlineStr"/>
      <c r="L8" s="2" t="inlineStr"/>
      <c r="M8" s="2" t="inlineStr"/>
    </row>
    <row r="9" ht="48" customHeight="1">
      <c r="A9" s="2" t="inlineStr">
        <is>
          <t>B-0008</t>
        </is>
      </c>
      <c r="B9" s="2" t="inlineStr">
        <is>
          <t>F-0006</t>
        </is>
      </c>
      <c r="C9" s="2" t="inlineStr">
        <is>
          <t>After analyze</t>
        </is>
      </c>
      <c r="D9" s="2" t="inlineStr">
        <is>
          <t>Fixture transcript includes an explicit decision</t>
        </is>
      </c>
      <c r="E9" s="2" t="inlineStr">
        <is>
          <t>The user looks at Decisions</t>
        </is>
      </c>
      <c r="F9" s="2" t="inlineStr">
        <is>
          <t>סיכמנו שעולים בראשון appears as a proposal</t>
        </is>
      </c>
      <c r="G9" s="2" t="inlineStr">
        <is>
          <t>Happy path</t>
        </is>
      </c>
      <c r="H9" s="2" t="inlineStr">
        <is>
          <t>Runtime UI</t>
        </is>
      </c>
      <c r="I9" s="2" t="inlineStr">
        <is>
          <t>FALSE</t>
        </is>
      </c>
      <c r="J9" s="2" t="inlineStr">
        <is>
          <t>High</t>
        </is>
      </c>
      <c r="K9" s="2" t="inlineStr"/>
      <c r="L9" s="2" t="inlineStr"/>
      <c r="M9" s="2" t="inlineStr"/>
    </row>
    <row r="10" ht="48" customHeight="1">
      <c r="A10" s="2" t="inlineStr">
        <is>
          <t>B-0009</t>
        </is>
      </c>
      <c r="B10" s="2" t="inlineStr">
        <is>
          <t>F-0006</t>
        </is>
      </c>
      <c r="C10" s="2" t="inlineStr">
        <is>
          <t>After analyze</t>
        </is>
      </c>
      <c r="D10" s="2" t="inlineStr">
        <is>
          <t>Conditional span present</t>
        </is>
      </c>
      <c r="E10" s="2" t="inlineStr">
        <is>
          <t>The user looks at that row</t>
        </is>
      </c>
      <c r="F10" s="2" t="inlineStr">
        <is>
          <t>Conditional is visible on נעלה בראשון רק אם נטע תאשר</t>
        </is>
      </c>
      <c r="G10" s="2" t="inlineStr">
        <is>
          <t>Happy path</t>
        </is>
      </c>
      <c r="H10" s="2" t="inlineStr">
        <is>
          <t>Runtime UI</t>
        </is>
      </c>
      <c r="I10" s="2" t="inlineStr">
        <is>
          <t>FALSE</t>
        </is>
      </c>
      <c r="J10" s="2" t="inlineStr">
        <is>
          <t>Medium</t>
        </is>
      </c>
      <c r="K10" s="2" t="inlineStr"/>
      <c r="L10" s="2" t="inlineStr"/>
      <c r="M10" s="2" t="inlineStr"/>
    </row>
    <row r="11" ht="48" customHeight="1">
      <c r="A11" s="2" t="inlineStr">
        <is>
          <t>B-0010</t>
        </is>
      </c>
      <c r="B11" s="2" t="inlineStr">
        <is>
          <t>F-0012</t>
        </is>
      </c>
      <c r="C11" s="2" t="inlineStr">
        <is>
          <t>After analyze</t>
        </is>
      </c>
      <c r="D11" s="2" t="inlineStr">
        <is>
          <t>Suggestion span present</t>
        </is>
      </c>
      <c r="E11" s="2" t="inlineStr">
        <is>
          <t>The user looks at Decisions</t>
        </is>
      </c>
      <c r="F11" s="2" t="inlineStr">
        <is>
          <t>אולי נעלה בראשון is not listed as a decision</t>
        </is>
      </c>
      <c r="G11" s="2" t="inlineStr">
        <is>
          <t>Negative</t>
        </is>
      </c>
      <c r="H11" s="2" t="inlineStr">
        <is>
          <t>Runtime UI</t>
        </is>
      </c>
      <c r="I11" s="2" t="inlineStr">
        <is>
          <t>FALSE</t>
        </is>
      </c>
      <c r="J11" s="2" t="inlineStr">
        <is>
          <t>High</t>
        </is>
      </c>
      <c r="K11" s="2" t="inlineStr"/>
      <c r="L11" s="2" t="inlineStr"/>
      <c r="M11" s="2" t="inlineStr"/>
    </row>
    <row r="12" ht="48" customHeight="1">
      <c r="A12" s="2" t="inlineStr">
        <is>
          <t>B-0011</t>
        </is>
      </c>
      <c r="B12" s="2" t="inlineStr">
        <is>
          <t>F-0007</t>
        </is>
      </c>
      <c r="C12" s="2" t="inlineStr">
        <is>
          <t>Proposal visible</t>
        </is>
      </c>
      <c r="D12" s="2" t="inlineStr">
        <is>
          <t>An unreviewed decision is shown</t>
        </is>
      </c>
      <c r="E12" s="2" t="inlineStr">
        <is>
          <t>The user clicks Confirm</t>
        </is>
      </c>
      <c r="F12" s="2" t="inlineStr">
        <is>
          <t>The badge becomes Confirmed and Confirm disappears</t>
        </is>
      </c>
      <c r="G12" s="2" t="inlineStr">
        <is>
          <t>Happy path</t>
        </is>
      </c>
      <c r="H12" s="2" t="inlineStr">
        <is>
          <t>Runtime UI</t>
        </is>
      </c>
      <c r="I12" s="2" t="inlineStr">
        <is>
          <t>FALSE</t>
        </is>
      </c>
      <c r="J12" s="2" t="inlineStr">
        <is>
          <t>High</t>
        </is>
      </c>
      <c r="K12" s="2" t="inlineStr"/>
      <c r="L12" s="2" t="inlineStr"/>
      <c r="M12" s="2" t="inlineStr"/>
    </row>
    <row r="13" ht="48" customHeight="1">
      <c r="A13" s="2" t="inlineStr">
        <is>
          <t>B-0012</t>
        </is>
      </c>
      <c r="B13" s="2" t="inlineStr">
        <is>
          <t>F-0008</t>
        </is>
      </c>
      <c r="C13" s="2" t="inlineStr">
        <is>
          <t>Proposal visible</t>
        </is>
      </c>
      <c r="D13" s="2" t="inlineStr">
        <is>
          <t>An unreviewed commitment is shown</t>
        </is>
      </c>
      <c r="E13" s="2" t="inlineStr">
        <is>
          <t>The user clicks Dismiss</t>
        </is>
      </c>
      <c r="F13" s="2" t="inlineStr">
        <is>
          <t>The badge becomes Dismissed and the transcript text is unchanged</t>
        </is>
      </c>
      <c r="G13" s="2" t="inlineStr">
        <is>
          <t>Happy path</t>
        </is>
      </c>
      <c r="H13" s="2" t="inlineStr">
        <is>
          <t>Runtime UI</t>
        </is>
      </c>
      <c r="I13" s="2" t="inlineStr">
        <is>
          <t>FALSE</t>
        </is>
      </c>
      <c r="J13" s="2" t="inlineStr">
        <is>
          <t>High</t>
        </is>
      </c>
      <c r="K13" s="2" t="inlineStr"/>
      <c r="L13" s="2" t="inlineStr"/>
      <c r="M13" s="2" t="inlineStr"/>
    </row>
    <row r="14" ht="48" customHeight="1">
      <c r="A14" s="2" t="inlineStr">
        <is>
          <t>B-0013</t>
        </is>
      </c>
      <c r="B14" s="2" t="inlineStr">
        <is>
          <t>F-0009</t>
        </is>
      </c>
      <c r="C14" s="2" t="inlineStr">
        <is>
          <t>Proposal visible</t>
        </is>
      </c>
      <c r="D14" s="2" t="inlineStr">
        <is>
          <t>A proposal has a Source action</t>
        </is>
      </c>
      <c r="E14" s="2" t="inlineStr">
        <is>
          <t>The user activates Source</t>
        </is>
      </c>
      <c r="F14" s="2" t="inlineStr">
        <is>
          <t>The matching transcript span is selected and visibly highlighted</t>
        </is>
      </c>
      <c r="G14" s="2" t="inlineStr">
        <is>
          <t>Happy path</t>
        </is>
      </c>
      <c r="H14" s="2" t="inlineStr">
        <is>
          <t>Runtime UI</t>
        </is>
      </c>
      <c r="I14" s="2" t="inlineStr">
        <is>
          <t>FALSE</t>
        </is>
      </c>
      <c r="J14" s="2" t="inlineStr">
        <is>
          <t>High</t>
        </is>
      </c>
      <c r="K14" s="2" t="inlineStr"/>
      <c r="L14" s="2" t="inlineStr"/>
      <c r="M14" s="2" t="inlineStr"/>
    </row>
    <row r="15" ht="48" customHeight="1">
      <c r="A15" s="2" t="inlineStr">
        <is>
          <t>B-0014</t>
        </is>
      </c>
      <c r="B15" s="2" t="inlineStr">
        <is>
          <t>F-0020</t>
        </is>
      </c>
      <c r="C15" s="2" t="inlineStr">
        <is>
          <t>VoiceOver/automation</t>
        </is>
      </c>
      <c r="D15" s="2" t="inlineStr">
        <is>
          <t>A proposal row is focused</t>
        </is>
      </c>
      <c r="E15" s="2" t="inlineStr">
        <is>
          <t>The user looks for Source as its own control</t>
        </is>
      </c>
      <c r="F15" s="2" t="inlineStr">
        <is>
          <t>Source, Confirm, and Dismiss are separate buttons</t>
        </is>
      </c>
      <c r="G15" s="2" t="inlineStr">
        <is>
          <t>Accessibility</t>
        </is>
      </c>
      <c r="H15" s="2" t="inlineStr">
        <is>
          <t>Runtime UI</t>
        </is>
      </c>
      <c r="I15" s="2" t="inlineStr">
        <is>
          <t>FALSE</t>
        </is>
      </c>
      <c r="J15" s="2" t="inlineStr">
        <is>
          <t>High</t>
        </is>
      </c>
      <c r="K15" s="2" t="inlineStr"/>
      <c r="L15" s="2" t="inlineStr"/>
      <c r="M15" s="2" t="inlineStr"/>
    </row>
    <row r="16" ht="48" customHeight="1">
      <c r="A16" s="2" t="inlineStr">
        <is>
          <t>B-0015</t>
        </is>
      </c>
      <c r="B16" s="2" t="inlineStr">
        <is>
          <t>F-0010</t>
        </is>
      </c>
      <c r="C16" s="2" t="inlineStr">
        <is>
          <t>After analysis</t>
        </is>
      </c>
      <c r="D16" s="2" t="inlineStr">
        <is>
          <t>Export analysis is enabled</t>
        </is>
      </c>
      <c r="E16" s="2" t="inlineStr">
        <is>
          <t>The user activates Export</t>
        </is>
      </c>
      <c r="F16" s="2" t="inlineStr">
        <is>
          <t>A save panel offers Markdown</t>
        </is>
      </c>
      <c r="G16" s="2" t="inlineStr">
        <is>
          <t>Happy path</t>
        </is>
      </c>
      <c r="H16" s="2" t="inlineStr">
        <is>
          <t>Runtime UI</t>
        </is>
      </c>
      <c r="I16" s="2" t="inlineStr">
        <is>
          <t>FALSE</t>
        </is>
      </c>
      <c r="J16" s="2" t="inlineStr">
        <is>
          <t>Low</t>
        </is>
      </c>
      <c r="K16" s="2" t="inlineStr"/>
      <c r="L16" s="2" t="inlineStr"/>
      <c r="M16" s="2" t="inlineStr"/>
    </row>
    <row r="17" ht="48" customHeight="1">
      <c r="A17" s="2" t="inlineStr">
        <is>
          <t>B-0016</t>
        </is>
      </c>
      <c r="B17" s="2" t="inlineStr">
        <is>
          <t>F-0011</t>
        </is>
      </c>
      <c r="C17" s="2" t="inlineStr">
        <is>
          <t>After confirm/dismiss</t>
        </is>
      </c>
      <c r="D17" s="2" t="inlineStr">
        <is>
          <t>insights.json exists</t>
        </is>
      </c>
      <c r="E17" s="2" t="inlineStr">
        <is>
          <t>The sidecar is read</t>
        </is>
      </c>
      <c r="F17" s="2" t="inlineStr">
        <is>
          <t>Review states match the UI (confirmed/dismissed)</t>
        </is>
      </c>
      <c r="G17" s="2" t="inlineStr">
        <is>
          <t>Recovery</t>
        </is>
      </c>
      <c r="H17" s="2" t="inlineStr">
        <is>
          <t>File + UI</t>
        </is>
      </c>
      <c r="I17" s="2" t="inlineStr">
        <is>
          <t>FALSE</t>
        </is>
      </c>
      <c r="J17" s="2" t="inlineStr">
        <is>
          <t>High</t>
        </is>
      </c>
      <c r="K17" s="2" t="inlineStr"/>
      <c r="L17" s="2" t="inlineStr"/>
      <c r="M17" s="2" t="inlineStr"/>
    </row>
    <row r="18" ht="48" customHeight="1">
      <c r="A18" s="2" t="inlineStr">
        <is>
          <t>B-0017</t>
        </is>
      </c>
      <c r="B18" s="2" t="inlineStr">
        <is>
          <t>F-0013</t>
        </is>
      </c>
      <c r="C18" s="2" t="inlineStr">
        <is>
          <t>Hebrew session</t>
        </is>
      </c>
      <c r="D18" s="2" t="inlineStr">
        <is>
          <t>Mixed Hebrew transcript</t>
        </is>
      </c>
      <c r="E18" s="2" t="inlineStr">
        <is>
          <t>The user reads quotes</t>
        </is>
      </c>
      <c r="F18" s="2" t="inlineStr">
        <is>
          <t>Hebrew blocks are right-aligned</t>
        </is>
      </c>
      <c r="G18" s="2" t="inlineStr">
        <is>
          <t>Happy path</t>
        </is>
      </c>
      <c r="H18" s="2" t="inlineStr">
        <is>
          <t>Runtime UI</t>
        </is>
      </c>
      <c r="I18" s="2" t="inlineStr">
        <is>
          <t>FALSE</t>
        </is>
      </c>
      <c r="J18" s="2" t="inlineStr">
        <is>
          <t>Medium</t>
        </is>
      </c>
      <c r="K18" s="2" t="inlineStr"/>
      <c r="L18" s="2" t="inlineStr"/>
      <c r="M18" s="2" t="inlineStr"/>
    </row>
    <row r="19" ht="48" customHeight="1">
      <c r="A19" s="2" t="inlineStr">
        <is>
          <t>B-0018</t>
        </is>
      </c>
      <c r="B19" s="2" t="inlineStr">
        <is>
          <t>F-0014</t>
        </is>
      </c>
      <c r="C19" s="2" t="inlineStr">
        <is>
          <t>After analyze, no questions</t>
        </is>
      </c>
      <c r="D19" s="2" t="inlineStr">
        <is>
          <t>No open questions found</t>
        </is>
      </c>
      <c r="E19" s="2" t="inlineStr">
        <is>
          <t>The user reads Open questions</t>
        </is>
      </c>
      <c r="F19" s="2" t="inlineStr">
        <is>
          <t>Copy says none in the analyzed coverage</t>
        </is>
      </c>
      <c r="G19" s="2" t="inlineStr">
        <is>
          <t>Empty</t>
        </is>
      </c>
      <c r="H19" s="2" t="inlineStr">
        <is>
          <t>Runtime UI</t>
        </is>
      </c>
      <c r="I19" s="2" t="inlineStr">
        <is>
          <t>FALSE</t>
        </is>
      </c>
      <c r="J19" s="2" t="inlineStr">
        <is>
          <t>Low</t>
        </is>
      </c>
      <c r="K19" s="2" t="inlineStr"/>
      <c r="L19" s="2" t="inlineStr"/>
      <c r="M19" s="2" t="inlineStr"/>
    </row>
    <row r="20" ht="48" customHeight="1">
      <c r="A20" s="2" t="inlineStr">
        <is>
          <t>B-0019</t>
        </is>
      </c>
      <c r="B20" s="2" t="inlineStr">
        <is>
          <t>F-0015</t>
        </is>
      </c>
      <c r="C20" s="2" t="inlineStr">
        <is>
          <t>Session loaded</t>
        </is>
      </c>
      <c r="D20" s="2" t="inlineStr">
        <is>
          <t>Prompt package generated</t>
        </is>
      </c>
      <c r="E20" s="2" t="inlineStr">
        <is>
          <t>The package is inspected</t>
        </is>
      </c>
      <c r="F20" s="2" t="inlineStr">
        <is>
          <t>It does not mention TypeSafe or insights</t>
        </is>
      </c>
      <c r="G20" s="2" t="inlineStr">
        <is>
          <t>Negative</t>
        </is>
      </c>
      <c r="H20" s="2" t="inlineStr">
        <is>
          <t>File</t>
        </is>
      </c>
      <c r="I20" s="2" t="inlineStr">
        <is>
          <t>FALSE</t>
        </is>
      </c>
      <c r="J20" s="2" t="inlineStr">
        <is>
          <t>Medium</t>
        </is>
      </c>
      <c r="K20" s="2" t="inlineStr"/>
      <c r="L20" s="2" t="inlineStr"/>
      <c r="M20" s="2" t="inlineStr"/>
    </row>
    <row r="21" ht="48" customHeight="1">
      <c r="A21" s="2" t="inlineStr">
        <is>
          <t>B-0020</t>
        </is>
      </c>
      <c r="B21" s="2" t="inlineStr">
        <is>
          <t>F-0016</t>
        </is>
      </c>
      <c r="C21" s="2" t="inlineStr">
        <is>
          <t>Reader open</t>
        </is>
      </c>
      <c r="D21" s="2" t="inlineStr">
        <is>
          <t>Decisions block visible</t>
        </is>
      </c>
      <c r="E21" s="2" t="inlineStr">
        <is>
          <t>The user reads the heading</t>
        </is>
      </c>
      <c r="F21" s="2" t="inlineStr">
        <is>
          <t>Experimental is shown next to Decisions</t>
        </is>
      </c>
      <c r="G21" s="2" t="inlineStr">
        <is>
          <t>Happy path</t>
        </is>
      </c>
      <c r="H21" s="2" t="inlineStr">
        <is>
          <t>Runtime UI</t>
        </is>
      </c>
      <c r="I21" s="2" t="inlineStr">
        <is>
          <t>FALSE</t>
        </is>
      </c>
      <c r="J21" s="2" t="inlineStr">
        <is>
          <t>Medium</t>
        </is>
      </c>
      <c r="K21" s="2" t="inlineStr"/>
      <c r="L21" s="2" t="inlineStr"/>
      <c r="M21" s="2" t="inlineStr"/>
    </row>
    <row r="22" ht="48" customHeight="1">
      <c r="A22" s="2" t="inlineStr">
        <is>
          <t>B-0021</t>
        </is>
      </c>
      <c r="B22" s="2" t="inlineStr">
        <is>
          <t>F-0017</t>
        </is>
      </c>
      <c r="C22" s="2" t="inlineStr">
        <is>
          <t>Reader open</t>
        </is>
      </c>
      <c r="D22" s="2" t="inlineStr">
        <is>
          <t>Toolbar visible</t>
        </is>
      </c>
      <c r="E22" s="2" t="inlineStr">
        <is>
          <t>The user looks at the toolbar</t>
        </is>
      </c>
      <c r="F22" s="2" t="inlineStr">
        <is>
          <t>Import Audio, Transcribe, and Export remain</t>
        </is>
      </c>
      <c r="G22" s="2" t="inlineStr">
        <is>
          <t>Happy path</t>
        </is>
      </c>
      <c r="H22" s="2" t="inlineStr">
        <is>
          <t>Runtime UI</t>
        </is>
      </c>
      <c r="I22" s="2" t="inlineStr">
        <is>
          <t>FALSE</t>
        </is>
      </c>
      <c r="J22" s="2" t="inlineStr">
        <is>
          <t>Medium</t>
        </is>
      </c>
      <c r="K22" s="2" t="inlineStr"/>
      <c r="L22" s="2" t="inlineStr"/>
      <c r="M22" s="2" t="inlineStr"/>
    </row>
    <row r="23" ht="48" customHeight="1">
      <c r="A23" s="2" t="inlineStr">
        <is>
          <t>B-0022</t>
        </is>
      </c>
      <c r="B23" s="2" t="inlineStr">
        <is>
          <t>F-0018</t>
        </is>
      </c>
      <c r="C23" s="2" t="inlineStr">
        <is>
          <t>Analysis running</t>
        </is>
      </c>
      <c r="D23" s="2" t="inlineStr">
        <is>
          <t>Status is running</t>
        </is>
      </c>
      <c r="E23" s="2" t="inlineStr">
        <is>
          <t>The user looks for Cancel</t>
        </is>
      </c>
      <c r="F23" s="2" t="inlineStr">
        <is>
          <t>Cancel is available and stops the run</t>
        </is>
      </c>
      <c r="G23" s="2" t="inlineStr">
        <is>
          <t>Recovery</t>
        </is>
      </c>
      <c r="H23" s="2" t="inlineStr">
        <is>
          <t>Runtime UI</t>
        </is>
      </c>
      <c r="I23" s="2" t="inlineStr">
        <is>
          <t>FALSE</t>
        </is>
      </c>
      <c r="J23" s="2" t="inlineStr">
        <is>
          <t>Medium</t>
        </is>
      </c>
      <c r="K23" s="2" t="inlineStr"/>
      <c r="L23" s="2" t="inlineStr"/>
      <c r="M23" s="2" t="inlineStr"/>
    </row>
    <row r="24" ht="48" customHeight="1">
      <c r="A24" s="2" t="inlineStr">
        <is>
          <t>B-0023</t>
        </is>
      </c>
      <c r="B24" s="2" t="inlineStr">
        <is>
          <t>F-0019</t>
        </is>
      </c>
      <c r="C24" s="2" t="inlineStr">
        <is>
          <t>Settings, empty key</t>
        </is>
      </c>
      <c r="D24" s="2" t="inlineStr">
        <is>
          <t>No key stored</t>
        </is>
      </c>
      <c r="E24" s="2" t="inlineStr">
        <is>
          <t>The user reads the key status</t>
        </is>
      </c>
      <c r="F24" s="2" t="inlineStr">
        <is>
          <t>No key stored is shown; Save stays disabled</t>
        </is>
      </c>
      <c r="G24" s="2" t="inlineStr">
        <is>
          <t>Empty</t>
        </is>
      </c>
      <c r="H24" s="2" t="inlineStr">
        <is>
          <t>Runtime UI</t>
        </is>
      </c>
      <c r="I24" s="2" t="inlineStr">
        <is>
          <t>FALSE</t>
        </is>
      </c>
      <c r="J24" s="2" t="inlineStr">
        <is>
          <t>Medium</t>
        </is>
      </c>
      <c r="K24" s="2" t="inlineStr"/>
      <c r="L24" s="2" t="inlineStr"/>
      <c r="M24" s="2" t="inlineStr"/>
    </row>
    <row r="25" ht="48" customHeight="1">
      <c r="A25" s="2" t="inlineStr">
        <is>
          <t>B-0024</t>
        </is>
      </c>
      <c r="B25" s="2" t="inlineStr">
        <is>
          <t>F-0006</t>
        </is>
      </c>
      <c r="C25" s="2" t="inlineStr">
        <is>
          <t>After analyze</t>
        </is>
      </c>
      <c r="D25" s="2" t="inlineStr">
        <is>
          <t>A commitment exists</t>
        </is>
      </c>
      <c r="E25" s="2" t="inlineStr">
        <is>
          <t>The user looks at Commitments</t>
        </is>
      </c>
      <c r="F25" s="2" t="inlineStr">
        <is>
          <t>אני אשלח לך מחר appears as a proposal</t>
        </is>
      </c>
      <c r="G25" s="2" t="inlineStr">
        <is>
          <t>Happy path</t>
        </is>
      </c>
      <c r="H25" s="2" t="inlineStr">
        <is>
          <t>Runtime UI</t>
        </is>
      </c>
      <c r="I25" s="2" t="inlineStr">
        <is>
          <t>FALSE</t>
        </is>
      </c>
      <c r="J25" s="2" t="inlineStr">
        <is>
          <t>High</t>
        </is>
      </c>
      <c r="K25" s="2" t="inlineStr"/>
      <c r="L25" s="2" t="inlineStr"/>
      <c r="M25" s="2" t="inlineStr"/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28" customHeight="1">
      <c r="A1" s="1" t="inlineStr">
        <is>
          <t>test_run_id</t>
        </is>
      </c>
      <c r="B1" s="1" t="inlineStr">
        <is>
          <t>run_id</t>
        </is>
      </c>
      <c r="C1" s="1" t="inlineStr">
        <is>
          <t>behavior_id</t>
        </is>
      </c>
      <c r="D1" s="1" t="inlineStr">
        <is>
          <t>phase</t>
        </is>
      </c>
      <c r="E1" s="1" t="inlineStr">
        <is>
          <t>commit_or_build</t>
        </is>
      </c>
      <c r="F1" s="1" t="inlineStr">
        <is>
          <t>environment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</t>
        </is>
      </c>
      <c r="J1" s="1" t="inlineStr">
        <is>
          <t>actual</t>
        </is>
      </c>
      <c r="K1" s="1" t="inlineStr">
        <is>
          <t>result</t>
        </is>
      </c>
      <c r="L1" s="1" t="inlineStr">
        <is>
          <t>evidence</t>
        </is>
      </c>
      <c r="M1" s="1" t="inlineStr">
        <is>
          <t>tester</t>
        </is>
      </c>
      <c r="N1" s="1" t="inlineStr">
        <is>
          <t>tested_at</t>
        </is>
      </c>
      <c r="O1" s="1" t="inlineStr">
        <is>
          <t>notes</t>
        </is>
      </c>
    </row>
    <row r="2" ht="48" customHeight="1">
      <c r="A2" s="2" t="inlineStr">
        <is>
          <t>T-0001</t>
        </is>
      </c>
      <c r="B2" s="2" t="inlineStr">
        <is>
          <t>QA-0001</t>
        </is>
      </c>
      <c r="C2" s="2" t="inlineStr">
        <is>
          <t>B-0001</t>
        </is>
      </c>
      <c r="D2" s="2" t="inlineStr">
        <is>
          <t>Baseline</t>
        </is>
      </c>
      <c r="E2" s="2" t="inlineStr">
        <is>
          <t>Sessions Dev.app sha256:80a93ed5d29c1afa mtime 2026-09-19T14:49Z</t>
        </is>
      </c>
      <c r="F2" s="2" t="inlineStr">
        <is>
          <t>me.cepessa.sessions-dev; CEPESSA_INSIGHTS_USE_FIXTURE=1; test-root=/private/tmp/cepessa-sessions-jev/ui-root</t>
        </is>
      </c>
      <c r="G2" s="2" t="inlineStr">
        <is>
          <t>Dev app launched</t>
        </is>
      </c>
      <c r="H2" s="2" t="inlineStr">
        <is>
          <t>Opened Settings Dev; captured Cloud Analysis footer</t>
        </is>
      </c>
      <c r="I2" s="2" t="inlineStr">
        <is>
          <t>Off by default; TypeSafe named</t>
        </is>
      </c>
      <c r="J2" s="2" t="inlineStr">
        <is>
          <t>Footer and Cloud Analysis heading present; toggle was above the first crop but copy is on screen</t>
        </is>
      </c>
      <c r="K2" s="2" t="inlineStr">
        <is>
          <t>Pass</t>
        </is>
      </c>
      <c r="L2" s="2" t="inlineStr">
        <is>
          <t>qa/evidence/01-settings-cloud.png</t>
        </is>
      </c>
      <c r="M2" s="2" t="inlineStr">
        <is>
          <t>grok-4.6</t>
        </is>
      </c>
      <c r="N2" s="2" t="inlineStr">
        <is>
          <t>2026-09-19T18:06:43Z</t>
        </is>
      </c>
      <c r="O2" s="2" t="inlineStr">
        <is>
          <t>Development fixture</t>
        </is>
      </c>
    </row>
    <row r="3" ht="48" customHeight="1">
      <c r="A3" s="2" t="inlineStr">
        <is>
          <t>T-0002</t>
        </is>
      </c>
      <c r="B3" s="2" t="inlineStr">
        <is>
          <t>QA-0001</t>
        </is>
      </c>
      <c r="C3" s="2" t="inlineStr">
        <is>
          <t>B-0002</t>
        </is>
      </c>
      <c r="D3" s="2" t="inlineStr">
        <is>
          <t>Baseline</t>
        </is>
      </c>
      <c r="E3" s="2" t="inlineStr">
        <is>
          <t>Sessions Dev.app sha256:80a93ed5d29c1afa mtime 2026-09-19T14:49Z</t>
        </is>
      </c>
      <c r="F3" s="2" t="inlineStr">
        <is>
          <t>me.cepessa.sessions-dev; CEPESSA_INSIGHTS_USE_FIXTURE=1; test-root=/private/tmp/cepessa-sessions-jev/ui-root</t>
        </is>
      </c>
      <c r="G3" s="2" t="inlineStr">
        <is>
          <t>No key</t>
        </is>
      </c>
      <c r="H3" s="2" t="inlineStr">
        <is>
          <t>Read Save/Remove and status</t>
        </is>
      </c>
      <c r="I3" s="2" t="inlineStr">
        <is>
          <t>No key stored; Save disabled</t>
        </is>
      </c>
      <c r="J3" s="2" t="inlineStr">
        <is>
          <t>No key stored. Save key and Remove key disabled</t>
        </is>
      </c>
      <c r="K3" s="2" t="inlineStr">
        <is>
          <t>Pass</t>
        </is>
      </c>
      <c r="L3" s="2" t="inlineStr">
        <is>
          <t>qa/evidence/01-settings-cloud.png</t>
        </is>
      </c>
      <c r="M3" s="2" t="inlineStr">
        <is>
          <t>grok-4.6</t>
        </is>
      </c>
      <c r="N3" s="2" t="inlineStr">
        <is>
          <t>2026-09-19T18:06:43Z</t>
        </is>
      </c>
      <c r="O3" s="2" t="inlineStr"/>
    </row>
    <row r="4" ht="48" customHeight="1">
      <c r="A4" s="2" t="inlineStr">
        <is>
          <t>T-0003</t>
        </is>
      </c>
      <c r="B4" s="2" t="inlineStr">
        <is>
          <t>QA-0001</t>
        </is>
      </c>
      <c r="C4" s="2" t="inlineStr">
        <is>
          <t>B-0003</t>
        </is>
      </c>
      <c r="D4" s="2" t="inlineStr">
        <is>
          <t>Baseline</t>
        </is>
      </c>
      <c r="E4" s="2" t="inlineStr">
        <is>
          <t>Sessions Dev.app sha256:80a93ed5d29c1afa mtime 2026-09-19T14:49Z</t>
        </is>
      </c>
      <c r="F4" s="2" t="inlineStr">
        <is>
          <t>me.cepessa.sessions-dev; CEPESSA_INSIGHTS_USE_FIXTURE=1; test-root=/private/tmp/cepessa-sessions-jev/ui-root</t>
        </is>
      </c>
      <c r="G4" s="2" t="inlineStr">
        <is>
          <t>Insight fixture session</t>
        </is>
      </c>
      <c r="H4" s="2" t="inlineStr">
        <is>
          <t>Opened session from status menu</t>
        </is>
      </c>
      <c r="I4" s="2" t="inlineStr">
        <is>
          <t>Decisions block above transcript</t>
        </is>
      </c>
      <c r="J4" s="2" t="inlineStr">
        <is>
          <t>Decisions Experimental and transcript visible</t>
        </is>
      </c>
      <c r="K4" s="2" t="inlineStr">
        <is>
          <t>Pass</t>
        </is>
      </c>
      <c r="L4" s="2" t="inlineStr">
        <is>
          <t>qa/evidence/02-reader-before-analyze.png</t>
        </is>
      </c>
      <c r="M4" s="2" t="inlineStr">
        <is>
          <t>grok-4.6</t>
        </is>
      </c>
      <c r="N4" s="2" t="inlineStr">
        <is>
          <t>2026-09-19T18:06:43Z</t>
        </is>
      </c>
      <c r="O4" s="2" t="inlineStr">
        <is>
          <t>Development fixture</t>
        </is>
      </c>
    </row>
    <row r="5" ht="48" customHeight="1">
      <c r="A5" s="2" t="inlineStr">
        <is>
          <t>T-0004</t>
        </is>
      </c>
      <c r="B5" s="2" t="inlineStr">
        <is>
          <t>QA-0001</t>
        </is>
      </c>
      <c r="C5" s="2" t="inlineStr">
        <is>
          <t>B-0004</t>
        </is>
      </c>
      <c r="D5" s="2" t="inlineStr">
        <is>
          <t>Baseline</t>
        </is>
      </c>
      <c r="E5" s="2" t="inlineStr">
        <is>
          <t>Sessions Dev.app sha256:80a93ed5d29c1afa mtime 2026-09-19T14:49Z</t>
        </is>
      </c>
      <c r="F5" s="2" t="inlineStr">
        <is>
          <t>me.cepessa.sessions-dev; CEPESSA_INSIGHTS_USE_FIXTURE=1; test-root=/private/tmp/cepessa-sessions-jev/ui-root</t>
        </is>
      </c>
      <c r="G5" s="2" t="inlineStr">
        <is>
          <t>No analysis</t>
        </is>
      </c>
      <c r="H5" s="2" t="inlineStr">
        <is>
          <t>Read helper text</t>
        </is>
      </c>
      <c r="I5" s="2" t="inlineStr">
        <is>
          <t>Names TypeSafe; audio not sent</t>
        </is>
      </c>
      <c r="J5" s="2" t="inlineStr">
        <is>
          <t>Cloud analysis is off until you start it... TypeSafe (Jev). Audio... not sent</t>
        </is>
      </c>
      <c r="K5" s="2" t="inlineStr">
        <is>
          <t>Pass</t>
        </is>
      </c>
      <c r="L5" s="2" t="inlineStr">
        <is>
          <t>qa/evidence/02-reader-before-analyze.png</t>
        </is>
      </c>
      <c r="M5" s="2" t="inlineStr">
        <is>
          <t>grok-4.6</t>
        </is>
      </c>
      <c r="N5" s="2" t="inlineStr">
        <is>
          <t>2026-09-19T18:06:43Z</t>
        </is>
      </c>
      <c r="O5" s="2" t="inlineStr"/>
    </row>
    <row r="6" ht="48" customHeight="1">
      <c r="A6" s="2" t="inlineStr">
        <is>
          <t>T-0005</t>
        </is>
      </c>
      <c r="B6" s="2" t="inlineStr">
        <is>
          <t>QA-0001</t>
        </is>
      </c>
      <c r="C6" s="2" t="inlineStr">
        <is>
          <t>B-0005</t>
        </is>
      </c>
      <c r="D6" s="2" t="inlineStr">
        <is>
          <t>Baseline</t>
        </is>
      </c>
      <c r="E6" s="2" t="inlineStr">
        <is>
          <t>Sessions Dev.app sha256:80a93ed5d29c1afa mtime 2026-09-19T14:49Z</t>
        </is>
      </c>
      <c r="F6" s="2" t="inlineStr">
        <is>
          <t>me.cepessa.sessions-dev; CEPESSA_INSIGHTS_USE_FIXTURE=1; test-root=/private/tmp/cepessa-sessions-jev/ui-root</t>
        </is>
      </c>
      <c r="G6" s="2" t="inlineStr">
        <is>
          <t>Analyze visible</t>
        </is>
      </c>
      <c r="H6" s="2" t="inlineStr">
        <is>
          <t>Clicked Analyze transcript with TypeSafe</t>
        </is>
      </c>
      <c r="I6" s="2" t="inlineStr">
        <is>
          <t>Proposals appear</t>
        </is>
      </c>
      <c r="J6" s="2" t="inlineStr">
        <is>
          <t>Three proposals after click; status Analyzed 4 spans</t>
        </is>
      </c>
      <c r="K6" s="2" t="inlineStr">
        <is>
          <t>Pass</t>
        </is>
      </c>
      <c r="L6" s="2" t="inlineStr">
        <is>
          <t>qa/evidence/03-reader-after-analyze.png</t>
        </is>
      </c>
      <c r="M6" s="2" t="inlineStr">
        <is>
          <t>grok-4.6</t>
        </is>
      </c>
      <c r="N6" s="2" t="inlineStr">
        <is>
          <t>2026-09-19T18:06:43Z</t>
        </is>
      </c>
      <c r="O6" s="2" t="inlineStr">
        <is>
          <t>Fixture provider, not live Jev</t>
        </is>
      </c>
    </row>
    <row r="7" ht="48" customHeight="1">
      <c r="A7" s="2" t="inlineStr">
        <is>
          <t>T-0006</t>
        </is>
      </c>
      <c r="B7" s="2" t="inlineStr">
        <is>
          <t>QA-0001</t>
        </is>
      </c>
      <c r="C7" s="2" t="inlineStr">
        <is>
          <t>B-0006</t>
        </is>
      </c>
      <c r="D7" s="2" t="inlineStr">
        <is>
          <t>Baseline</t>
        </is>
      </c>
      <c r="E7" s="2" t="inlineStr">
        <is>
          <t>Sessions Dev.app sha256:80a93ed5d29c1afa mtime 2026-09-19T14:49Z</t>
        </is>
      </c>
      <c r="F7" s="2" t="inlineStr">
        <is>
          <t>me.cepessa.sessions-dev; CEPESSA_INSIGHTS_USE_FIXTURE=1; test-root=/private/tmp/cepessa-sessions-jev/ui-root</t>
        </is>
      </c>
      <c r="G7" s="2" t="inlineStr">
        <is>
          <t>Fixture flag on</t>
        </is>
      </c>
      <c r="H7" s="2" t="inlineStr">
        <is>
          <t>Clicked Analyze</t>
        </is>
      </c>
      <c r="I7" s="2" t="inlineStr">
        <is>
          <t>Consent alert before send</t>
        </is>
      </c>
      <c r="J7" s="2" t="inlineStr">
        <is>
          <t>No consent alert; fixture path runs immediately</t>
        </is>
      </c>
      <c r="K7" s="2" t="inlineStr">
        <is>
          <t>N/A</t>
        </is>
      </c>
      <c r="L7" s="2" t="inlineStr">
        <is>
          <t>qa/evidence/03-reader-after-analyze.png</t>
        </is>
      </c>
      <c r="M7" s="2" t="inlineStr">
        <is>
          <t>grok-4.6</t>
        </is>
      </c>
      <c r="N7" s="2" t="inlineStr">
        <is>
          <t>2026-09-19T18:06:43Z</t>
        </is>
      </c>
      <c r="O7" s="2" t="inlineStr">
        <is>
          <t>Consent not exercised in this environment</t>
        </is>
      </c>
    </row>
    <row r="8" ht="48" customHeight="1">
      <c r="A8" s="2" t="inlineStr">
        <is>
          <t>T-0007</t>
        </is>
      </c>
      <c r="B8" s="2" t="inlineStr">
        <is>
          <t>QA-0001</t>
        </is>
      </c>
      <c r="C8" s="2" t="inlineStr">
        <is>
          <t>B-0007</t>
        </is>
      </c>
      <c r="D8" s="2" t="inlineStr">
        <is>
          <t>Baseline</t>
        </is>
      </c>
      <c r="E8" s="2" t="inlineStr">
        <is>
          <t>Sessions Dev.app sha256:80a93ed5d29c1afa mtime 2026-09-19T14:49Z</t>
        </is>
      </c>
      <c r="F8" s="2" t="inlineStr">
        <is>
          <t>me.cepessa.sessions-dev; CEPESSA_INSIGHTS_USE_FIXTURE=1; test-root=/private/tmp/cepessa-sessions-jev/ui-root</t>
        </is>
      </c>
      <c r="G8" s="2" t="inlineStr">
        <is>
          <t>After analyze</t>
        </is>
      </c>
      <c r="H8" s="2" t="inlineStr">
        <is>
          <t>Read group headings</t>
        </is>
      </c>
      <c r="I8" s="2" t="inlineStr">
        <is>
          <t>Three groups</t>
        </is>
      </c>
      <c r="J8" s="2" t="inlineStr">
        <is>
          <t>Decisions, Commitments, Open questions all present</t>
        </is>
      </c>
      <c r="K8" s="2" t="inlineStr">
        <is>
          <t>Pass</t>
        </is>
      </c>
      <c r="L8" s="2" t="inlineStr">
        <is>
          <t>qa/evidence/03-reader-after-analyze.png</t>
        </is>
      </c>
      <c r="M8" s="2" t="inlineStr">
        <is>
          <t>grok-4.6</t>
        </is>
      </c>
      <c r="N8" s="2" t="inlineStr">
        <is>
          <t>2026-09-19T18:06:43Z</t>
        </is>
      </c>
      <c r="O8" s="2" t="inlineStr"/>
    </row>
    <row r="9" ht="48" customHeight="1">
      <c r="A9" s="2" t="inlineStr">
        <is>
          <t>T-0008</t>
        </is>
      </c>
      <c r="B9" s="2" t="inlineStr">
        <is>
          <t>QA-0001</t>
        </is>
      </c>
      <c r="C9" s="2" t="inlineStr">
        <is>
          <t>B-0008</t>
        </is>
      </c>
      <c r="D9" s="2" t="inlineStr">
        <is>
          <t>Baseline</t>
        </is>
      </c>
      <c r="E9" s="2" t="inlineStr">
        <is>
          <t>Sessions Dev.app sha256:80a93ed5d29c1afa mtime 2026-09-19T14:49Z</t>
        </is>
      </c>
      <c r="F9" s="2" t="inlineStr">
        <is>
          <t>me.cepessa.sessions-dev; CEPESSA_INSIGHTS_USE_FIXTURE=1; test-root=/private/tmp/cepessa-sessions-jev/ui-root</t>
        </is>
      </c>
      <c r="G9" s="2" t="inlineStr">
        <is>
          <t>After analyze</t>
        </is>
      </c>
      <c r="H9" s="2" t="inlineStr">
        <is>
          <t>Read Decisions</t>
        </is>
      </c>
      <c r="I9" s="2" t="inlineStr">
        <is>
          <t>סיכמנו שעולים בראשון listed</t>
        </is>
      </c>
      <c r="J9" s="2" t="inlineStr">
        <is>
          <t>Listed as Proposal for Noam 0:16</t>
        </is>
      </c>
      <c r="K9" s="2" t="inlineStr">
        <is>
          <t>Pass</t>
        </is>
      </c>
      <c r="L9" s="2" t="inlineStr">
        <is>
          <t>qa/evidence/03-reader-after-analyze.png</t>
        </is>
      </c>
      <c r="M9" s="2" t="inlineStr">
        <is>
          <t>grok-4.6</t>
        </is>
      </c>
      <c r="N9" s="2" t="inlineStr">
        <is>
          <t>2026-09-19T18:06:43Z</t>
        </is>
      </c>
      <c r="O9" s="2" t="inlineStr"/>
    </row>
    <row r="10" ht="48" customHeight="1">
      <c r="A10" s="2" t="inlineStr">
        <is>
          <t>T-0009</t>
        </is>
      </c>
      <c r="B10" s="2" t="inlineStr">
        <is>
          <t>QA-0001</t>
        </is>
      </c>
      <c r="C10" s="2" t="inlineStr">
        <is>
          <t>B-0009</t>
        </is>
      </c>
      <c r="D10" s="2" t="inlineStr">
        <is>
          <t>Baseline</t>
        </is>
      </c>
      <c r="E10" s="2" t="inlineStr">
        <is>
          <t>Sessions Dev.app sha256:80a93ed5d29c1afa mtime 2026-09-19T14:49Z</t>
        </is>
      </c>
      <c r="F10" s="2" t="inlineStr">
        <is>
          <t>me.cepessa.sessions-dev; CEPESSA_INSIGHTS_USE_FIXTURE=1; test-root=/private/tmp/cepessa-sessions-jev/ui-root</t>
        </is>
      </c>
      <c r="G10" s="2" t="inlineStr">
        <is>
          <t>After analyze</t>
        </is>
      </c>
      <c r="H10" s="2" t="inlineStr">
        <is>
          <t>Read second decision</t>
        </is>
      </c>
      <c r="I10" s="2" t="inlineStr">
        <is>
          <t>Conditional visible</t>
        </is>
      </c>
      <c r="J10" s="2" t="inlineStr">
        <is>
          <t>Proposal Conditional on נעלה בראשון רק אם נטע תאשר</t>
        </is>
      </c>
      <c r="K10" s="2" t="inlineStr">
        <is>
          <t>Pass</t>
        </is>
      </c>
      <c r="L10" s="2" t="inlineStr">
        <is>
          <t>qa/evidence/03-reader-after-analyze.png</t>
        </is>
      </c>
      <c r="M10" s="2" t="inlineStr">
        <is>
          <t>grok-4.6</t>
        </is>
      </c>
      <c r="N10" s="2" t="inlineStr">
        <is>
          <t>2026-09-19T18:06:43Z</t>
        </is>
      </c>
      <c r="O10" s="2" t="inlineStr"/>
    </row>
    <row r="11" ht="48" customHeight="1">
      <c r="A11" s="2" t="inlineStr">
        <is>
          <t>T-0010</t>
        </is>
      </c>
      <c r="B11" s="2" t="inlineStr">
        <is>
          <t>QA-0001</t>
        </is>
      </c>
      <c r="C11" s="2" t="inlineStr">
        <is>
          <t>B-0010</t>
        </is>
      </c>
      <c r="D11" s="2" t="inlineStr">
        <is>
          <t>Baseline</t>
        </is>
      </c>
      <c r="E11" s="2" t="inlineStr">
        <is>
          <t>Sessions Dev.app sha256:80a93ed5d29c1afa mtime 2026-09-19T14:49Z</t>
        </is>
      </c>
      <c r="F11" s="2" t="inlineStr">
        <is>
          <t>me.cepessa.sessions-dev; CEPESSA_INSIGHTS_USE_FIXTURE=1; test-root=/private/tmp/cepessa-sessions-jev/ui-root</t>
        </is>
      </c>
      <c r="G11" s="2" t="inlineStr">
        <is>
          <t>After analyze</t>
        </is>
      </c>
      <c r="H11" s="2" t="inlineStr">
        <is>
          <t>Scan Decisions for אולי</t>
        </is>
      </c>
      <c r="I11" s="2" t="inlineStr">
        <is>
          <t>Suggestion not listed</t>
        </is>
      </c>
      <c r="J11" s="2" t="inlineStr">
        <is>
          <t>אולי only in transcript, not in Decisions</t>
        </is>
      </c>
      <c r="K11" s="2" t="inlineStr">
        <is>
          <t>Pass</t>
        </is>
      </c>
      <c r="L11" s="2" t="inlineStr">
        <is>
          <t>qa/evidence/03-reader-after-analyze.png</t>
        </is>
      </c>
      <c r="M11" s="2" t="inlineStr">
        <is>
          <t>grok-4.6</t>
        </is>
      </c>
      <c r="N11" s="2" t="inlineStr">
        <is>
          <t>2026-09-19T18:06:43Z</t>
        </is>
      </c>
      <c r="O11" s="2" t="inlineStr"/>
    </row>
    <row r="12" ht="48" customHeight="1">
      <c r="A12" s="2" t="inlineStr">
        <is>
          <t>T-0011</t>
        </is>
      </c>
      <c r="B12" s="2" t="inlineStr">
        <is>
          <t>QA-0001</t>
        </is>
      </c>
      <c r="C12" s="2" t="inlineStr">
        <is>
          <t>B-0011</t>
        </is>
      </c>
      <c r="D12" s="2" t="inlineStr">
        <is>
          <t>Baseline</t>
        </is>
      </c>
      <c r="E12" s="2" t="inlineStr">
        <is>
          <t>Sessions Dev.app sha256:80a93ed5d29c1afa mtime 2026-09-19T14:49Z</t>
        </is>
      </c>
      <c r="F12" s="2" t="inlineStr">
        <is>
          <t>me.cepessa.sessions-dev; CEPESSA_INSIGHTS_USE_FIXTURE=1; test-root=/private/tmp/cepessa-sessions-jev/ui-root</t>
        </is>
      </c>
      <c r="G12" s="2" t="inlineStr">
        <is>
          <t>Unreviewed decision</t>
        </is>
      </c>
      <c r="H12" s="2" t="inlineStr">
        <is>
          <t>Clicked Confirm by coordinates</t>
        </is>
      </c>
      <c r="I12" s="2" t="inlineStr">
        <is>
          <t>Confirmed badge</t>
        </is>
      </c>
      <c r="J12" s="2" t="inlineStr">
        <is>
          <t>Green Confirmed; Confirm control gone; sidecar confirmed</t>
        </is>
      </c>
      <c r="K12" s="2" t="inlineStr">
        <is>
          <t>Pass</t>
        </is>
      </c>
      <c r="L12" s="2" t="inlineStr">
        <is>
          <t>qa/evidence/06-after-confirm.png</t>
        </is>
      </c>
      <c r="M12" s="2" t="inlineStr">
        <is>
          <t>grok-4.6</t>
        </is>
      </c>
      <c r="N12" s="2" t="inlineStr">
        <is>
          <t>2026-09-19T18:06:43Z</t>
        </is>
      </c>
      <c r="O12" s="2" t="inlineStr">
        <is>
          <t>Clicked by coordinates because AX combined</t>
        </is>
      </c>
    </row>
    <row r="13" ht="48" customHeight="1">
      <c r="A13" s="2" t="inlineStr">
        <is>
          <t>T-0012</t>
        </is>
      </c>
      <c r="B13" s="2" t="inlineStr">
        <is>
          <t>QA-0001</t>
        </is>
      </c>
      <c r="C13" s="2" t="inlineStr">
        <is>
          <t>B-0012</t>
        </is>
      </c>
      <c r="D13" s="2" t="inlineStr">
        <is>
          <t>Baseline</t>
        </is>
      </c>
      <c r="E13" s="2" t="inlineStr">
        <is>
          <t>Sessions Dev.app sha256:80a93ed5d29c1afa mtime 2026-09-19T14:49Z</t>
        </is>
      </c>
      <c r="F13" s="2" t="inlineStr">
        <is>
          <t>me.cepessa.sessions-dev; CEPESSA_INSIGHTS_USE_FIXTURE=1; test-root=/private/tmp/cepessa-sessions-jev/ui-root</t>
        </is>
      </c>
      <c r="G13" s="2" t="inlineStr">
        <is>
          <t>Unreviewed commitment</t>
        </is>
      </c>
      <c r="H13" s="2" t="inlineStr">
        <is>
          <t>Clicked Dismiss by coordinates</t>
        </is>
      </c>
      <c r="I13" s="2" t="inlineStr">
        <is>
          <t>Dismissed; transcript unchanged</t>
        </is>
      </c>
      <c r="J13" s="2" t="inlineStr">
        <is>
          <t>Dismissed badge; transcript still shows אני אשלח לך מחר</t>
        </is>
      </c>
      <c r="K13" s="2" t="inlineStr">
        <is>
          <t>Pass</t>
        </is>
      </c>
      <c r="L13" s="2" t="inlineStr">
        <is>
          <t>qa/evidence/08-source-and-dismiss.png</t>
        </is>
      </c>
      <c r="M13" s="2" t="inlineStr">
        <is>
          <t>grok-4.6</t>
        </is>
      </c>
      <c r="N13" s="2" t="inlineStr">
        <is>
          <t>2026-09-19T18:06:43Z</t>
        </is>
      </c>
      <c r="O13" s="2" t="inlineStr"/>
    </row>
    <row r="14" ht="48" customHeight="1">
      <c r="A14" s="2" t="inlineStr">
        <is>
          <t>T-0013</t>
        </is>
      </c>
      <c r="B14" s="2" t="inlineStr">
        <is>
          <t>QA-0001</t>
        </is>
      </c>
      <c r="C14" s="2" t="inlineStr">
        <is>
          <t>B-0013</t>
        </is>
      </c>
      <c r="D14" s="2" t="inlineStr">
        <is>
          <t>Baseline</t>
        </is>
      </c>
      <c r="E14" s="2" t="inlineStr">
        <is>
          <t>Sessions Dev.app sha256:80a93ed5d29c1afa mtime 2026-09-19T14:49Z</t>
        </is>
      </c>
      <c r="F14" s="2" t="inlineStr">
        <is>
          <t>me.cepessa.sessions-dev; CEPESSA_INSIGHTS_USE_FIXTURE=1; test-root=/private/tmp/cepessa-sessions-jev/ui-root</t>
        </is>
      </c>
      <c r="G14" s="2" t="inlineStr">
        <is>
          <t>Source on first proposal</t>
        </is>
      </c>
      <c r="H14" s="2" t="inlineStr">
        <is>
          <t>Clicked Source; looked for highlight</t>
        </is>
      </c>
      <c r="I14" s="2" t="inlineStr">
        <is>
          <t>Exact span highlighted</t>
        </is>
      </c>
      <c r="J14" s="2" t="inlineStr">
        <is>
          <t>Source click registered; underline not clearly visible; all text already on screen so scroll proof is weak</t>
        </is>
      </c>
      <c r="K14" s="2" t="inlineStr">
        <is>
          <t>Fail</t>
        </is>
      </c>
      <c r="L14" s="2" t="inlineStr">
        <is>
          <t>qa/evidence/08-source-and-dismiss.png</t>
        </is>
      </c>
      <c r="M14" s="2" t="inlineStr">
        <is>
          <t>grok-4.6</t>
        </is>
      </c>
      <c r="N14" s="2" t="inlineStr">
        <is>
          <t>2026-09-19T18:06:43Z</t>
        </is>
      </c>
      <c r="O14" s="2" t="inlineStr">
        <is>
          <t>Highlight too weak to prove</t>
        </is>
      </c>
    </row>
    <row r="15" ht="48" customHeight="1">
      <c r="A15" s="2" t="inlineStr">
        <is>
          <t>T-0014</t>
        </is>
      </c>
      <c r="B15" s="2" t="inlineStr">
        <is>
          <t>QA-0001</t>
        </is>
      </c>
      <c r="C15" s="2" t="inlineStr">
        <is>
          <t>B-0014</t>
        </is>
      </c>
      <c r="D15" s="2" t="inlineStr">
        <is>
          <t>Baseline</t>
        </is>
      </c>
      <c r="E15" s="2" t="inlineStr">
        <is>
          <t>Sessions Dev.app sha256:80a93ed5d29c1afa mtime 2026-09-19T14:49Z</t>
        </is>
      </c>
      <c r="F15" s="2" t="inlineStr">
        <is>
          <t>me.cepessa.sessions-dev; CEPESSA_INSIGHTS_USE_FIXTURE=1; test-root=/private/tmp/cepessa-sessions-jev/ui-root</t>
        </is>
      </c>
      <c r="G15" s="2" t="inlineStr">
        <is>
          <t>After analyze</t>
        </is>
      </c>
      <c r="H15" s="2" t="inlineStr">
        <is>
          <t>agent-swift find text Source</t>
        </is>
      </c>
      <c r="I15" s="2" t="inlineStr">
        <is>
          <t>Separate Source/Confirm/Dismiss controls</t>
        </is>
      </c>
      <c r="J15" s="2" t="inlineStr">
        <is>
          <t>ELEMENT_NOT_FOUND for Source; row is one combined AX button</t>
        </is>
      </c>
      <c r="K15" s="2" t="inlineStr">
        <is>
          <t>Fail</t>
        </is>
      </c>
      <c r="L15" s="2" t="inlineStr">
        <is>
          <t>agent-swift ELEMENT_NOT_FOUND 9468d162</t>
        </is>
      </c>
      <c r="M15" s="2" t="inlineStr">
        <is>
          <t>grok-4.6</t>
        </is>
      </c>
      <c r="N15" s="2" t="inlineStr">
        <is>
          <t>2026-09-19T18:06:43Z</t>
        </is>
      </c>
      <c r="O15" s="2" t="inlineStr"/>
    </row>
    <row r="16" ht="48" customHeight="1">
      <c r="A16" s="2" t="inlineStr">
        <is>
          <t>T-0015</t>
        </is>
      </c>
      <c r="B16" s="2" t="inlineStr">
        <is>
          <t>QA-0001</t>
        </is>
      </c>
      <c r="C16" s="2" t="inlineStr">
        <is>
          <t>B-0015</t>
        </is>
      </c>
      <c r="D16" s="2" t="inlineStr">
        <is>
          <t>Baseline</t>
        </is>
      </c>
      <c r="E16" s="2" t="inlineStr">
        <is>
          <t>Sessions Dev.app sha256:80a93ed5d29c1afa mtime 2026-09-19T14:49Z</t>
        </is>
      </c>
      <c r="F16" s="2" t="inlineStr">
        <is>
          <t>me.cepessa.sessions-dev; CEPESSA_INSIGHTS_USE_FIXTURE=1; test-root=/private/tmp/cepessa-sessions-jev/ui-root</t>
        </is>
      </c>
      <c r="G16" s="2" t="inlineStr">
        <is>
          <t>After analyze</t>
        </is>
      </c>
      <c r="H16" s="2" t="inlineStr">
        <is>
          <t>Observed Export analysis as Markdown button</t>
        </is>
      </c>
      <c r="I16" s="2" t="inlineStr">
        <is>
          <t>Save panel</t>
        </is>
      </c>
      <c r="J16" s="2" t="inlineStr">
        <is>
          <t>Button present and enabled; save panel not completed to avoid extra files</t>
        </is>
      </c>
      <c r="K16" s="2" t="inlineStr">
        <is>
          <t>Blocked</t>
        </is>
      </c>
      <c r="L16" s="2" t="inlineStr">
        <is>
          <t>AX Export analysis as Markdown enabled</t>
        </is>
      </c>
      <c r="M16" s="2" t="inlineStr">
        <is>
          <t>grok-4.6</t>
        </is>
      </c>
      <c r="N16" s="2" t="inlineStr">
        <is>
          <t>2026-09-19T18:06:43Z</t>
        </is>
      </c>
      <c r="O16" s="2" t="inlineStr">
        <is>
          <t>Panel not driven</t>
        </is>
      </c>
    </row>
    <row r="17" ht="48" customHeight="1">
      <c r="A17" s="2" t="inlineStr">
        <is>
          <t>T-0016</t>
        </is>
      </c>
      <c r="B17" s="2" t="inlineStr">
        <is>
          <t>QA-0001</t>
        </is>
      </c>
      <c r="C17" s="2" t="inlineStr">
        <is>
          <t>B-0016</t>
        </is>
      </c>
      <c r="D17" s="2" t="inlineStr">
        <is>
          <t>Baseline</t>
        </is>
      </c>
      <c r="E17" s="2" t="inlineStr">
        <is>
          <t>Sessions Dev.app sha256:80a93ed5d29c1afa mtime 2026-09-19T14:49Z</t>
        </is>
      </c>
      <c r="F17" s="2" t="inlineStr">
        <is>
          <t>me.cepessa.sessions-dev; CEPESSA_INSIGHTS_USE_FIXTURE=1; test-root=/private/tmp/cepessa-sessions-jev/ui-root</t>
        </is>
      </c>
      <c r="G17" s="2" t="inlineStr">
        <is>
          <t>After confirm/dismiss</t>
        </is>
      </c>
      <c r="H17" s="2" t="inlineStr">
        <is>
          <t>Read insights.json</t>
        </is>
      </c>
      <c r="I17" s="2" t="inlineStr">
        <is>
          <t>States match UI</t>
        </is>
      </c>
      <c r="J17" s="2" t="inlineStr">
        <is>
          <t>decision confirmed; commitment dismissed; conditional unreviewed</t>
        </is>
      </c>
      <c r="K17" s="2" t="inlineStr">
        <is>
          <t>Pass</t>
        </is>
      </c>
      <c r="L17" s="2" t="inlineStr">
        <is>
          <t>ui-root/.../insights.json</t>
        </is>
      </c>
      <c r="M17" s="2" t="inlineStr">
        <is>
          <t>grok-4.6</t>
        </is>
      </c>
      <c r="N17" s="2" t="inlineStr">
        <is>
          <t>2026-09-19T18:06:43Z</t>
        </is>
      </c>
      <c r="O17" s="2" t="inlineStr"/>
    </row>
    <row r="18" ht="48" customHeight="1">
      <c r="A18" s="2" t="inlineStr">
        <is>
          <t>T-0017</t>
        </is>
      </c>
      <c r="B18" s="2" t="inlineStr">
        <is>
          <t>QA-0001</t>
        </is>
      </c>
      <c r="C18" s="2" t="inlineStr">
        <is>
          <t>B-0017</t>
        </is>
      </c>
      <c r="D18" s="2" t="inlineStr">
        <is>
          <t>Baseline</t>
        </is>
      </c>
      <c r="E18" s="2" t="inlineStr">
        <is>
          <t>Sessions Dev.app sha256:80a93ed5d29c1afa mtime 2026-09-19T14:49Z</t>
        </is>
      </c>
      <c r="F18" s="2" t="inlineStr">
        <is>
          <t>me.cepessa.sessions-dev; CEPESSA_INSIGHTS_USE_FIXTURE=1; test-root=/private/tmp/cepessa-sessions-jev/ui-root</t>
        </is>
      </c>
      <c r="G18" s="2" t="inlineStr">
        <is>
          <t>Hebrew transcript</t>
        </is>
      </c>
      <c r="H18" s="2" t="inlineStr">
        <is>
          <t>Inspect alignment</t>
        </is>
      </c>
      <c r="I18" s="2" t="inlineStr">
        <is>
          <t>Hebrew right-aligned</t>
        </is>
      </c>
      <c r="J18" s="2" t="inlineStr">
        <is>
          <t>Transcript and quotes sit on the trailing edge</t>
        </is>
      </c>
      <c r="K18" s="2" t="inlineStr">
        <is>
          <t>Pass</t>
        </is>
      </c>
      <c r="L18" s="2" t="inlineStr">
        <is>
          <t>qa/evidence/02-reader-before-analyze.png</t>
        </is>
      </c>
      <c r="M18" s="2" t="inlineStr">
        <is>
          <t>grok-4.6</t>
        </is>
      </c>
      <c r="N18" s="2" t="inlineStr">
        <is>
          <t>2026-09-19T18:06:43Z</t>
        </is>
      </c>
      <c r="O18" s="2" t="inlineStr"/>
    </row>
    <row r="19" ht="48" customHeight="1">
      <c r="A19" s="2" t="inlineStr">
        <is>
          <t>T-0018</t>
        </is>
      </c>
      <c r="B19" s="2" t="inlineStr">
        <is>
          <t>QA-0001</t>
        </is>
      </c>
      <c r="C19" s="2" t="inlineStr">
        <is>
          <t>B-0018</t>
        </is>
      </c>
      <c r="D19" s="2" t="inlineStr">
        <is>
          <t>Baseline</t>
        </is>
      </c>
      <c r="E19" s="2" t="inlineStr">
        <is>
          <t>Sessions Dev.app sha256:80a93ed5d29c1afa mtime 2026-09-19T14:49Z</t>
        </is>
      </c>
      <c r="F19" s="2" t="inlineStr">
        <is>
          <t>me.cepessa.sessions-dev; CEPESSA_INSIGHTS_USE_FIXTURE=1; test-root=/private/tmp/cepessa-sessions-jev/ui-root</t>
        </is>
      </c>
      <c r="G19" s="2" t="inlineStr">
        <is>
          <t>After analyze</t>
        </is>
      </c>
      <c r="H19" s="2" t="inlineStr">
        <is>
          <t>Read Open questions</t>
        </is>
      </c>
      <c r="I19" s="2" t="inlineStr">
        <is>
          <t>None in the analyzed coverage</t>
        </is>
      </c>
      <c r="J19" s="2" t="inlineStr">
        <is>
          <t>Exact copy present</t>
        </is>
      </c>
      <c r="K19" s="2" t="inlineStr">
        <is>
          <t>Pass</t>
        </is>
      </c>
      <c r="L19" s="2" t="inlineStr">
        <is>
          <t>qa/evidence/03-reader-after-analyze.png</t>
        </is>
      </c>
      <c r="M19" s="2" t="inlineStr">
        <is>
          <t>grok-4.6</t>
        </is>
      </c>
      <c r="N19" s="2" t="inlineStr">
        <is>
          <t>2026-09-19T18:06:43Z</t>
        </is>
      </c>
      <c r="O19" s="2" t="inlineStr"/>
    </row>
    <row r="20" ht="48" customHeight="1">
      <c r="A20" s="2" t="inlineStr">
        <is>
          <t>T-0019</t>
        </is>
      </c>
      <c r="B20" s="2" t="inlineStr">
        <is>
          <t>QA-0001</t>
        </is>
      </c>
      <c r="C20" s="2" t="inlineStr">
        <is>
          <t>B-0019</t>
        </is>
      </c>
      <c r="D20" s="2" t="inlineStr">
        <is>
          <t>Baseline</t>
        </is>
      </c>
      <c r="E20" s="2" t="inlineStr">
        <is>
          <t>Sessions Dev.app sha256:80a93ed5d29c1afa mtime 2026-09-19T14:49Z</t>
        </is>
      </c>
      <c r="F20" s="2" t="inlineStr">
        <is>
          <t>me.cepessa.sessions-dev; CEPESSA_INSIGHTS_USE_FIXTURE=1; test-root=/private/tmp/cepessa-sessions-jev/ui-root</t>
        </is>
      </c>
      <c r="G20" s="2" t="inlineStr">
        <is>
          <t>Session load</t>
        </is>
      </c>
      <c r="H20" s="2" t="inlineStr">
        <is>
          <t>Grep session-package.md</t>
        </is>
      </c>
      <c r="I20" s="2" t="inlineStr">
        <is>
          <t>No TypeSafe/insights</t>
        </is>
      </c>
      <c r="J20" s="2" t="inlineStr">
        <is>
          <t>No matches</t>
        </is>
      </c>
      <c r="K20" s="2" t="inlineStr">
        <is>
          <t>Pass</t>
        </is>
      </c>
      <c r="L20" s="2" t="inlineStr">
        <is>
          <t>ui-root/.../Exports/session-package.md</t>
        </is>
      </c>
      <c r="M20" s="2" t="inlineStr">
        <is>
          <t>grok-4.6</t>
        </is>
      </c>
      <c r="N20" s="2" t="inlineStr">
        <is>
          <t>2026-09-19T18:06:43Z</t>
        </is>
      </c>
      <c r="O20" s="2" t="inlineStr"/>
    </row>
    <row r="21" ht="48" customHeight="1">
      <c r="A21" s="2" t="inlineStr">
        <is>
          <t>T-0020</t>
        </is>
      </c>
      <c r="B21" s="2" t="inlineStr">
        <is>
          <t>QA-0001</t>
        </is>
      </c>
      <c r="C21" s="2" t="inlineStr">
        <is>
          <t>B-0020</t>
        </is>
      </c>
      <c r="D21" s="2" t="inlineStr">
        <is>
          <t>Baseline</t>
        </is>
      </c>
      <c r="E21" s="2" t="inlineStr">
        <is>
          <t>Sessions Dev.app sha256:80a93ed5d29c1afa mtime 2026-09-19T14:49Z</t>
        </is>
      </c>
      <c r="F21" s="2" t="inlineStr">
        <is>
          <t>me.cepessa.sessions-dev; CEPESSA_INSIGHTS_USE_FIXTURE=1; test-root=/private/tmp/cepessa-sessions-jev/ui-root</t>
        </is>
      </c>
      <c r="G21" s="2" t="inlineStr">
        <is>
          <t>Reader</t>
        </is>
      </c>
      <c r="H21" s="2" t="inlineStr">
        <is>
          <t>Read heading</t>
        </is>
      </c>
      <c r="I21" s="2" t="inlineStr">
        <is>
          <t>Experimental visible</t>
        </is>
      </c>
      <c r="J21" s="2" t="inlineStr">
        <is>
          <t>Experimental next to Decisions</t>
        </is>
      </c>
      <c r="K21" s="2" t="inlineStr">
        <is>
          <t>Pass</t>
        </is>
      </c>
      <c r="L21" s="2" t="inlineStr">
        <is>
          <t>qa/evidence/02-reader-before-analyze.png</t>
        </is>
      </c>
      <c r="M21" s="2" t="inlineStr">
        <is>
          <t>grok-4.6</t>
        </is>
      </c>
      <c r="N21" s="2" t="inlineStr">
        <is>
          <t>2026-09-19T18:06:43Z</t>
        </is>
      </c>
      <c r="O21" s="2" t="inlineStr"/>
    </row>
    <row r="22" ht="48" customHeight="1">
      <c r="A22" s="2" t="inlineStr">
        <is>
          <t>T-0021</t>
        </is>
      </c>
      <c r="B22" s="2" t="inlineStr">
        <is>
          <t>QA-0001</t>
        </is>
      </c>
      <c r="C22" s="2" t="inlineStr">
        <is>
          <t>B-0021</t>
        </is>
      </c>
      <c r="D22" s="2" t="inlineStr">
        <is>
          <t>Baseline</t>
        </is>
      </c>
      <c r="E22" s="2" t="inlineStr">
        <is>
          <t>Sessions Dev.app sha256:80a93ed5d29c1afa mtime 2026-09-19T14:49Z</t>
        </is>
      </c>
      <c r="F22" s="2" t="inlineStr">
        <is>
          <t>me.cepessa.sessions-dev; CEPESSA_INSIGHTS_USE_FIXTURE=1; test-root=/private/tmp/cepessa-sessions-jev/ui-root</t>
        </is>
      </c>
      <c r="G22" s="2" t="inlineStr">
        <is>
          <t>Reader toolbar</t>
        </is>
      </c>
      <c r="H22" s="2" t="inlineStr">
        <is>
          <t>Read toolbar</t>
        </is>
      </c>
      <c r="I22" s="2" t="inlineStr">
        <is>
          <t>Import Transcribe Export remain</t>
        </is>
      </c>
      <c r="J22" s="2" t="inlineStr">
        <is>
          <t>All three present</t>
        </is>
      </c>
      <c r="K22" s="2" t="inlineStr">
        <is>
          <t>Pass</t>
        </is>
      </c>
      <c r="L22" s="2" t="inlineStr">
        <is>
          <t>qa/evidence/02-reader-before-analyze.png</t>
        </is>
      </c>
      <c r="M22" s="2" t="inlineStr">
        <is>
          <t>grok-4.6</t>
        </is>
      </c>
      <c r="N22" s="2" t="inlineStr">
        <is>
          <t>2026-09-19T18:06:43Z</t>
        </is>
      </c>
      <c r="O22" s="2" t="inlineStr"/>
    </row>
    <row r="23" ht="48" customHeight="1">
      <c r="A23" s="2" t="inlineStr">
        <is>
          <t>T-0022</t>
        </is>
      </c>
      <c r="B23" s="2" t="inlineStr">
        <is>
          <t>QA-0001</t>
        </is>
      </c>
      <c r="C23" s="2" t="inlineStr">
        <is>
          <t>B-0022</t>
        </is>
      </c>
      <c r="D23" s="2" t="inlineStr">
        <is>
          <t>Baseline</t>
        </is>
      </c>
      <c r="E23" s="2" t="inlineStr">
        <is>
          <t>Sessions Dev.app sha256:80a93ed5d29c1afa mtime 2026-09-19T14:49Z</t>
        </is>
      </c>
      <c r="F23" s="2" t="inlineStr">
        <is>
          <t>me.cepessa.sessions-dev; CEPESSA_INSIGHTS_USE_FIXTURE=1; test-root=/private/tmp/cepessa-sessions-jev/ui-root</t>
        </is>
      </c>
      <c r="G23" s="2" t="inlineStr">
        <is>
          <t>Fixture analyze</t>
        </is>
      </c>
      <c r="H23" s="2" t="inlineStr">
        <is>
          <t>Watch for running/Cancel</t>
        </is>
      </c>
      <c r="I23" s="2" t="inlineStr">
        <is>
          <t>Cancel available while running</t>
        </is>
      </c>
      <c r="J23" s="2" t="inlineStr">
        <is>
          <t>Analysis finished before Cancel could appear</t>
        </is>
      </c>
      <c r="K23" s="2" t="inlineStr">
        <is>
          <t>Blocked</t>
        </is>
      </c>
      <c r="L23" s="2" t="inlineStr">
        <is>
          <t>no running screenshot</t>
        </is>
      </c>
      <c r="M23" s="2" t="inlineStr">
        <is>
          <t>grok-4.6</t>
        </is>
      </c>
      <c r="N23" s="2" t="inlineStr">
        <is>
          <t>2026-09-19T18:06:43Z</t>
        </is>
      </c>
      <c r="O23" s="2" t="inlineStr"/>
    </row>
    <row r="24" ht="48" customHeight="1">
      <c r="A24" s="2" t="inlineStr">
        <is>
          <t>T-0023</t>
        </is>
      </c>
      <c r="B24" s="2" t="inlineStr">
        <is>
          <t>QA-0001</t>
        </is>
      </c>
      <c r="C24" s="2" t="inlineStr">
        <is>
          <t>B-0023</t>
        </is>
      </c>
      <c r="D24" s="2" t="inlineStr">
        <is>
          <t>Baseline</t>
        </is>
      </c>
      <c r="E24" s="2" t="inlineStr">
        <is>
          <t>Sessions Dev.app sha256:80a93ed5d29c1afa mtime 2026-09-19T14:49Z</t>
        </is>
      </c>
      <c r="F24" s="2" t="inlineStr">
        <is>
          <t>me.cepessa.sessions-dev; CEPESSA_INSIGHTS_USE_FIXTURE=1; test-root=/private/tmp/cepessa-sessions-jev/ui-root</t>
        </is>
      </c>
      <c r="G24" s="2" t="inlineStr">
        <is>
          <t>Settings</t>
        </is>
      </c>
      <c r="H24" s="2" t="inlineStr">
        <is>
          <t>Read key status</t>
        </is>
      </c>
      <c r="I24" s="2" t="inlineStr">
        <is>
          <t>No key stored</t>
        </is>
      </c>
      <c r="J24" s="2" t="inlineStr">
        <is>
          <t>No key stored shown</t>
        </is>
      </c>
      <c r="K24" s="2" t="inlineStr">
        <is>
          <t>Pass</t>
        </is>
      </c>
      <c r="L24" s="2" t="inlineStr">
        <is>
          <t>qa/evidence/01-settings-cloud.png</t>
        </is>
      </c>
      <c r="M24" s="2" t="inlineStr">
        <is>
          <t>grok-4.6</t>
        </is>
      </c>
      <c r="N24" s="2" t="inlineStr">
        <is>
          <t>2026-09-19T18:06:43Z</t>
        </is>
      </c>
      <c r="O24" s="2" t="inlineStr"/>
    </row>
    <row r="25" ht="48" customHeight="1">
      <c r="A25" s="2" t="inlineStr">
        <is>
          <t>T-0024</t>
        </is>
      </c>
      <c r="B25" s="2" t="inlineStr">
        <is>
          <t>QA-0001</t>
        </is>
      </c>
      <c r="C25" s="2" t="inlineStr">
        <is>
          <t>B-0024</t>
        </is>
      </c>
      <c r="D25" s="2" t="inlineStr">
        <is>
          <t>Baseline</t>
        </is>
      </c>
      <c r="E25" s="2" t="inlineStr">
        <is>
          <t>Sessions Dev.app sha256:80a93ed5d29c1afa mtime 2026-09-19T14:49Z</t>
        </is>
      </c>
      <c r="F25" s="2" t="inlineStr">
        <is>
          <t>me.cepessa.sessions-dev; CEPESSA_INSIGHTS_USE_FIXTURE=1; test-root=/private/tmp/cepessa-sessions-jev/ui-root</t>
        </is>
      </c>
      <c r="G25" s="2" t="inlineStr">
        <is>
          <t>After analyze</t>
        </is>
      </c>
      <c r="H25" s="2" t="inlineStr">
        <is>
          <t>Read Commitments</t>
        </is>
      </c>
      <c r="I25" s="2" t="inlineStr">
        <is>
          <t>אני אשלח לך מחר listed</t>
        </is>
      </c>
      <c r="J25" s="2" t="inlineStr">
        <is>
          <t>Listed as Proposal</t>
        </is>
      </c>
      <c r="K25" s="2" t="inlineStr">
        <is>
          <t>Pass</t>
        </is>
      </c>
      <c r="L25" s="2" t="inlineStr">
        <is>
          <t>qa/evidence/03-reader-after-analyze.png</t>
        </is>
      </c>
      <c r="M25" s="2" t="inlineStr">
        <is>
          <t>grok-4.6</t>
        </is>
      </c>
      <c r="N25" s="2" t="inlineStr">
        <is>
          <t>2026-09-19T18:06:43Z</t>
        </is>
      </c>
      <c r="O25" s="2" t="inlineStr"/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 ht="28" customHeight="1">
      <c r="A1" s="1" t="inlineStr">
        <is>
          <t>defect_id</t>
        </is>
      </c>
      <c r="B1" s="1" t="inlineStr">
        <is>
          <t>behavior_ids</t>
        </is>
      </c>
      <c r="C1" s="1" t="inlineStr">
        <is>
          <t>fingerprint</t>
        </is>
      </c>
      <c r="D1" s="1" t="inlineStr">
        <is>
          <t>category</t>
        </is>
      </c>
      <c r="E1" s="1" t="inlineStr">
        <is>
          <t>severity</t>
        </is>
      </c>
      <c r="F1" s="1" t="inlineStr">
        <is>
          <t>title</t>
        </is>
      </c>
      <c r="G1" s="1" t="inlineStr">
        <is>
          <t>reproduction</t>
        </is>
      </c>
      <c r="H1" s="1" t="inlineStr">
        <is>
          <t>expected</t>
        </is>
      </c>
      <c r="I1" s="1" t="inlineStr">
        <is>
          <t>actual</t>
        </is>
      </c>
      <c r="J1" s="1" t="inlineStr">
        <is>
          <t>evidence</t>
        </is>
      </c>
      <c r="K1" s="1" t="inlineStr">
        <is>
          <t>status</t>
        </is>
      </c>
      <c r="L1" s="1" t="inlineStr">
        <is>
          <t>approval_state</t>
        </is>
      </c>
      <c r="M1" s="1" t="inlineStr">
        <is>
          <t>root_cause</t>
        </is>
      </c>
      <c r="N1" s="1" t="inlineStr">
        <is>
          <t>fix_reference</t>
        </is>
      </c>
      <c r="O1" s="1" t="inlineStr">
        <is>
          <t>fixed_build</t>
        </is>
      </c>
      <c r="P1" s="1" t="inlineStr">
        <is>
          <t>targeted_retest_id</t>
        </is>
      </c>
      <c r="Q1" s="1" t="inlineStr">
        <is>
          <t>final_regression_id</t>
        </is>
      </c>
      <c r="R1" s="1" t="inlineStr">
        <is>
          <t>blocker_or_acceptance_reason</t>
        </is>
      </c>
      <c r="S1" s="1" t="inlineStr">
        <is>
          <t>notes</t>
        </is>
      </c>
    </row>
    <row r="2" ht="48" customHeight="1">
      <c r="A2" s="2" t="inlineStr">
        <is>
          <t>D-0001</t>
        </is>
      </c>
      <c r="B2" s="2" t="inlineStr">
        <is>
          <t>B-0014</t>
        </is>
      </c>
      <c r="C2" s="2" t="inlineStr">
        <is>
          <t>ax-row-combine-source-confirm-dismiss</t>
        </is>
      </c>
      <c r="D2" s="2" t="inlineStr">
        <is>
          <t>Accessibility</t>
        </is>
      </c>
      <c r="E2" s="2" t="inlineStr">
        <is>
          <t>High</t>
        </is>
      </c>
      <c r="F2" s="2" t="inlineStr">
        <is>
          <t>Source, Confirm, and Dismiss are one VoiceOver control</t>
        </is>
      </c>
      <c r="G2" s="2" t="inlineStr">
        <is>
          <t>Analyze a session; ask automation or VoiceOver for Source</t>
        </is>
      </c>
      <c r="H2" s="2" t="inlineStr">
        <is>
          <t>Each action is its own button</t>
        </is>
      </c>
      <c r="I2" s="2" t="inlineStr">
        <is>
          <t>find text Source returns ELEMENT_NOT_FOUND; row AXButton combines the whole proposal</t>
        </is>
      </c>
      <c r="J2" s="2" t="inlineStr">
        <is>
          <t>qa/evidence/03-reader-after-analyze.png</t>
        </is>
      </c>
      <c r="K2" s="2" t="inlineStr">
        <is>
          <t>Reproduced</t>
        </is>
      </c>
      <c r="L2" s="2" t="inlineStr">
        <is>
          <t>Authorized by skill invocation</t>
        </is>
      </c>
      <c r="M2" s="2" t="inlineStr">
        <is>
          <t>insightRow uses accessibilityElement(children: .combine)</t>
        </is>
      </c>
      <c r="N2" s="2" t="inlineStr"/>
      <c r="O2" s="2" t="inlineStr"/>
      <c r="P2" s="2" t="inlineStr"/>
      <c r="Q2" s="2" t="inlineStr"/>
      <c r="R2" s="2" t="inlineStr"/>
      <c r="S2" s="2" t="inlineStr">
        <is>
          <t>Local reversible SwiftUI fix</t>
        </is>
      </c>
    </row>
    <row r="3" ht="48" customHeight="1">
      <c r="A3" s="2" t="inlineStr">
        <is>
          <t>D-0002</t>
        </is>
      </c>
      <c r="B3" s="2" t="inlineStr">
        <is>
          <t>B-0013</t>
        </is>
      </c>
      <c r="C3" s="2" t="inlineStr">
        <is>
          <t>source-highlight-not-visible</t>
        </is>
      </c>
      <c r="D3" s="2" t="inlineStr">
        <is>
          <t>UX</t>
        </is>
      </c>
      <c r="E3" s="2" t="inlineStr">
        <is>
          <t>Medium</t>
        </is>
      </c>
      <c r="F3" s="2" t="inlineStr">
        <is>
          <t>Source does not make the quote obviously highlighted</t>
        </is>
      </c>
      <c r="G3" s="2" t="inlineStr">
        <is>
          <t>Click Source on סיכמנו שעולים בראשון</t>
        </is>
      </c>
      <c r="H3" s="2" t="inlineStr">
        <is>
          <t>The matching transcript span is clearly marked</t>
        </is>
      </c>
      <c r="I3" s="2" t="inlineStr">
        <is>
          <t>Click succeeded; underline is not visible in screenshots; whole transcript already on screen</t>
        </is>
      </c>
      <c r="J3" s="2" t="inlineStr">
        <is>
          <t>qa/evidence/08-source-and-dismiss.png</t>
        </is>
      </c>
      <c r="K3" s="2" t="inlineStr">
        <is>
          <t>Reproduced</t>
        </is>
      </c>
      <c r="L3" s="2" t="inlineStr">
        <is>
          <t>Authorized by skill invocation</t>
        </is>
      </c>
      <c r="M3" s="2" t="inlineStr">
        <is>
          <t>highlightedTranscript uses underline only</t>
        </is>
      </c>
      <c r="N3" s="2" t="inlineStr"/>
      <c r="O3" s="2" t="inlineStr"/>
      <c r="P3" s="2" t="inlineStr"/>
      <c r="Q3" s="2" t="inlineStr"/>
      <c r="R3" s="2" t="inlineStr"/>
      <c r="S3" s="2" t="inlineStr">
        <is>
          <t>Contract asked for highlight</t>
        </is>
      </c>
    </row>
    <row r="4" ht="48" customHeight="1">
      <c r="A4" s="2" t="inlineStr">
        <is>
          <t>D-0003</t>
        </is>
      </c>
      <c r="B4" s="2" t="inlineStr">
        <is>
          <t>B-0006</t>
        </is>
      </c>
      <c r="C4" s="2" t="inlineStr">
        <is>
          <t>consent-untested-in-fixture-env</t>
        </is>
      </c>
      <c r="D4" s="2" t="inlineStr">
        <is>
          <t>Integration/Environment</t>
        </is>
      </c>
      <c r="E4" s="2" t="inlineStr">
        <is>
          <t>High</t>
        </is>
      </c>
      <c r="F4" s="2" t="inlineStr">
        <is>
          <t>Live consent dialog not shown in this run</t>
        </is>
      </c>
      <c r="G4" s="2" t="inlineStr">
        <is>
          <t>Analyze without fixture flag</t>
        </is>
      </c>
      <c r="H4" s="2" t="inlineStr">
        <is>
          <t>TypeSafe confirmation before network</t>
        </is>
      </c>
      <c r="I4" s="2" t="inlineStr">
        <is>
          <t>Fixture environment skips consent</t>
        </is>
      </c>
      <c r="J4" s="2" t="inlineStr">
        <is>
          <t>qa/evidence/03-reader-after-analyze.png</t>
        </is>
      </c>
      <c r="K4" s="2" t="inlineStr">
        <is>
          <t>Blocked</t>
        </is>
      </c>
      <c r="L4" s="2" t="inlineStr">
        <is>
          <t>Protected live send</t>
        </is>
      </c>
      <c r="M4" s="2" t="inlineStr">
        <is>
          <t>CEPESSA_INSIGHTS_USE_FIXTURE=1</t>
        </is>
      </c>
      <c r="N4" s="2" t="inlineStr"/>
      <c r="O4" s="2" t="inlineStr"/>
      <c r="P4" s="2" t="inlineStr"/>
      <c r="Q4" s="2" t="inlineStr"/>
      <c r="R4" s="2" t="inlineStr">
        <is>
          <t>Needs a non-fixture run with an explicit send decision</t>
        </is>
      </c>
      <c r="S4" s="2" t="inlineStr">
        <is>
          <t>Not a product-code defect in this env</t>
        </is>
      </c>
    </row>
    <row r="5" ht="48" customHeight="1">
      <c r="A5" s="2" t="inlineStr">
        <is>
          <t>D-0004</t>
        </is>
      </c>
      <c r="B5" s="2" t="inlineStr">
        <is>
          <t>B-0022</t>
        </is>
      </c>
      <c r="C5" s="2" t="inlineStr">
        <is>
          <t>cancel-not-observable</t>
        </is>
      </c>
      <c r="D5" s="2" t="inlineStr">
        <is>
          <t>Test harness</t>
        </is>
      </c>
      <c r="E5" s="2" t="inlineStr">
        <is>
          <t>Low</t>
        </is>
      </c>
      <c r="F5" s="2" t="inlineStr">
        <is>
          <t>Cancel never appeared because analysis finished immediately</t>
        </is>
      </c>
      <c r="G5" s="2" t="inlineStr">
        <is>
          <t>Start a slow analysis and click Cancel</t>
        </is>
      </c>
      <c r="H5" s="2" t="inlineStr">
        <is>
          <t>Cancel is visible while running</t>
        </is>
      </c>
      <c r="I5" s="2" t="inlineStr">
        <is>
          <t>Fixture completed in one frame</t>
        </is>
      </c>
      <c r="J5" s="2" t="inlineStr">
        <is>
          <t>no running screenshot</t>
        </is>
      </c>
      <c r="K5" s="2" t="inlineStr">
        <is>
          <t>Blocked</t>
        </is>
      </c>
      <c r="L5" s="2" t="inlineStr">
        <is>
          <t>n/a</t>
        </is>
      </c>
      <c r="M5" s="2" t="inlineStr">
        <is>
          <t>Fixture latency too low</t>
        </is>
      </c>
      <c r="N5" s="2" t="inlineStr"/>
      <c r="O5" s="2" t="inlineStr"/>
      <c r="P5" s="2" t="inlineStr"/>
      <c r="Q5" s="2" t="inlineStr"/>
      <c r="R5" s="2" t="inlineStr">
        <is>
          <t>Needs delayed provider or live network</t>
        </is>
      </c>
      <c r="S5" s="2" t="inlineStr"/>
    </row>
    <row r="6" ht="48" customHeight="1">
      <c r="A6" s="2" t="inlineStr">
        <is>
          <t>D-0005</t>
        </is>
      </c>
      <c r="B6" s="2" t="inlineStr">
        <is>
          <t>B-0015</t>
        </is>
      </c>
      <c r="C6" s="2" t="inlineStr">
        <is>
          <t>export-panel-not-completed</t>
        </is>
      </c>
      <c r="D6" s="2" t="inlineStr">
        <is>
          <t>Test harness</t>
        </is>
      </c>
      <c r="E6" s="2" t="inlineStr">
        <is>
          <t>Low</t>
        </is>
      </c>
      <c r="F6" s="2" t="inlineStr">
        <is>
          <t>Markdown save panel was not completed</t>
        </is>
      </c>
      <c r="G6" s="2" t="inlineStr">
        <is>
          <t>Click Export analysis</t>
        </is>
      </c>
      <c r="H6" s="2" t="inlineStr">
        <is>
          <t>A markdown file is written</t>
        </is>
      </c>
      <c r="I6" s="2" t="inlineStr">
        <is>
          <t>Button enabled; panel not driven</t>
        </is>
      </c>
      <c r="J6" s="2" t="inlineStr">
        <is>
          <t>AX Export analysis as Markdown</t>
        </is>
      </c>
      <c r="K6" s="2" t="inlineStr">
        <is>
          <t>Blocked</t>
        </is>
      </c>
      <c r="L6" s="2" t="inlineStr">
        <is>
          <t>n/a</t>
        </is>
      </c>
      <c r="M6" s="2" t="inlineStr">
        <is>
          <t>Avoided extra modal files in this pass</t>
        </is>
      </c>
      <c r="N6" s="2" t="inlineStr"/>
      <c r="O6" s="2" t="inlineStr"/>
      <c r="P6" s="2" t="inlineStr"/>
      <c r="Q6" s="2" t="inlineStr"/>
      <c r="R6" s="2" t="inlineStr">
        <is>
          <t>Can complete in retest</t>
        </is>
      </c>
      <c r="S6" s="2" t="inlineStr">
        <is>
          <t>Not a product defect</t>
        </is>
      </c>
    </row>
  </sheetData>
  <autoFilter ref="A1:S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28" customHeight="1">
      <c r="A1" s="1" t="inlineStr">
        <is>
          <t>opportunity_id</t>
        </is>
      </c>
      <c r="B1" s="1" t="inlineStr">
        <is>
          <t>feature_ids</t>
        </is>
      </c>
      <c r="C1" s="1" t="inlineStr">
        <is>
          <t>behavior_ids</t>
        </is>
      </c>
      <c r="D1" s="1" t="inlineStr">
        <is>
          <t>user_journey_step</t>
        </is>
      </c>
      <c r="E1" s="1" t="inlineStr">
        <is>
          <t>evidence_type</t>
        </is>
      </c>
      <c r="F1" s="1" t="inlineStr">
        <is>
          <t>evidence</t>
        </is>
      </c>
      <c r="G1" s="1" t="inlineStr">
        <is>
          <t>observed_friction</t>
        </is>
      </c>
      <c r="H1" s="1" t="inlineStr">
        <is>
          <t>proposed_change</t>
        </is>
      </c>
      <c r="I1" s="1" t="inlineStr">
        <is>
          <t>expected_user_benefit</t>
        </is>
      </c>
      <c r="J1" s="1" t="inlineStr">
        <is>
          <t>priority</t>
        </is>
      </c>
      <c r="K1" s="1" t="inlineStr">
        <is>
          <t>confidence</t>
        </is>
      </c>
      <c r="L1" s="1" t="inlineStr">
        <is>
          <t>effort</t>
        </is>
      </c>
      <c r="M1" s="1" t="inlineStr">
        <is>
          <t>risk</t>
        </is>
      </c>
      <c r="N1" s="1" t="inlineStr">
        <is>
          <t>validation_method</t>
        </is>
      </c>
      <c r="O1" s="1" t="inlineStr">
        <is>
          <t>visual_reference</t>
        </is>
      </c>
      <c r="P1" s="1" t="inlineStr">
        <is>
          <t>status</t>
        </is>
      </c>
      <c r="Q1" s="1" t="inlineStr">
        <is>
          <t>notes</t>
        </is>
      </c>
    </row>
    <row r="2" ht="48" customHeight="1">
      <c r="A2" s="2" t="inlineStr">
        <is>
          <t>UX-0001</t>
        </is>
      </c>
      <c r="B2" s="2" t="inlineStr">
        <is>
          <t>F-0009</t>
        </is>
      </c>
      <c r="C2" s="2" t="inlineStr">
        <is>
          <t>B-0013</t>
        </is>
      </c>
      <c r="D2" s="2" t="inlineStr">
        <is>
          <t>After clicking Source</t>
        </is>
      </c>
      <c r="E2" s="2" t="inlineStr">
        <is>
          <t>Screenshot</t>
        </is>
      </c>
      <c r="F2" s="2" t="inlineStr">
        <is>
          <t>qa/evidence/08-source-and-dismiss.png</t>
        </is>
      </c>
      <c r="G2" s="2" t="inlineStr">
        <is>
          <t>The quote in the transcript does not stand out from neighboring lines</t>
        </is>
      </c>
      <c r="H2" s="2" t="inlineStr">
        <is>
          <t>Give the source span a lasting background mark and keep it on screen</t>
        </is>
      </c>
      <c r="I2" s="2" t="inlineStr">
        <is>
          <t>The user can check the quote without hunting</t>
        </is>
      </c>
      <c r="J2" s="2" t="inlineStr">
        <is>
          <t>P1</t>
        </is>
      </c>
      <c r="K2" s="2" t="inlineStr">
        <is>
          <t>High</t>
        </is>
      </c>
      <c r="L2" s="2" t="inlineStr">
        <is>
          <t>S</t>
        </is>
      </c>
      <c r="M2" s="2" t="inlineStr">
        <is>
          <t>Low</t>
        </is>
      </c>
      <c r="N2" s="2" t="inlineStr">
        <is>
          <t>Retest Source click with a visible mark in a screenshot</t>
        </is>
      </c>
      <c r="O2" s="2" t="inlineStr">
        <is>
          <t>qa/evidence/08-source-and-dismiss.png</t>
        </is>
      </c>
      <c r="P2" s="2" t="inlineStr">
        <is>
          <t>Proposed</t>
        </is>
      </c>
      <c r="Q2" s="2" t="inlineStr">
        <is>
          <t>If highlight remains a contract miss it is D-0002, not only an opportunity</t>
        </is>
      </c>
    </row>
    <row r="3" ht="48" customHeight="1">
      <c r="A3" s="2" t="inlineStr">
        <is>
          <t>UX-0002</t>
        </is>
      </c>
      <c r="B3" s="2" t="inlineStr">
        <is>
          <t>F-0003</t>
        </is>
      </c>
      <c r="C3" s="2" t="inlineStr">
        <is>
          <t>B-0003</t>
        </is>
      </c>
      <c r="D3" s="2" t="inlineStr">
        <is>
          <t>First look at Decisions</t>
        </is>
      </c>
      <c r="E3" s="2" t="inlineStr">
        <is>
          <t>Screenshot</t>
        </is>
      </c>
      <c r="F3" s="2" t="inlineStr">
        <is>
          <t>qa/evidence/02-reader-before-analyze.png</t>
        </is>
      </c>
      <c r="G3" s="2" t="inlineStr">
        <is>
          <t>Analyze with TypeSafe is a small caption-weight control on the trailing edge</t>
        </is>
      </c>
      <c r="H3" s="2" t="inlineStr">
        <is>
          <t>Keep the experimental label, but make the start action a regular trailing button</t>
        </is>
      </c>
      <c r="I3" s="2" t="inlineStr">
        <is>
          <t>The user can find the start action without scanning microcopy</t>
        </is>
      </c>
      <c r="J3" s="2" t="inlineStr">
        <is>
          <t>P2</t>
        </is>
      </c>
      <c r="K3" s="2" t="inlineStr">
        <is>
          <t>Medium</t>
        </is>
      </c>
      <c r="L3" s="2" t="inlineStr">
        <is>
          <t>S</t>
        </is>
      </c>
      <c r="M3" s="2" t="inlineStr">
        <is>
          <t>Low</t>
        </is>
      </c>
      <c r="N3" s="2" t="inlineStr">
        <is>
          <t>Ask a new user to start analysis without hints</t>
        </is>
      </c>
      <c r="O3" s="2" t="inlineStr">
        <is>
          <t>qa/evidence/02-reader-before-analyze.png</t>
        </is>
      </c>
      <c r="P3" s="2" t="inlineStr">
        <is>
          <t>Proposed</t>
        </is>
      </c>
      <c r="Q3" s="2" t="inlineStr">
        <is>
          <t>Opportunity, not a broken control</t>
        </is>
      </c>
    </row>
  </sheetData>
  <autoFilter ref="A1:Q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1" t="inlineStr">
        <is>
          <t>node_id</t>
        </is>
      </c>
      <c r="B1" s="1" t="inlineStr">
        <is>
          <t>role</t>
        </is>
      </c>
      <c r="C1" s="1" t="inlineStr">
        <is>
          <t>requested_model</t>
        </is>
      </c>
      <c r="D1" s="1" t="inlineStr">
        <is>
          <t>requested_effort</t>
        </is>
      </c>
      <c r="E1" s="1" t="inlineStr">
        <is>
          <t>effective_model</t>
        </is>
      </c>
      <c r="F1" s="1" t="inlineStr">
        <is>
          <t>effective_effort</t>
        </is>
      </c>
      <c r="G1" s="1" t="inlineStr">
        <is>
          <t>agent_identity</t>
        </is>
      </c>
      <c r="H1" s="1" t="inlineStr">
        <is>
          <t>runtime</t>
        </is>
      </c>
      <c r="I1" s="1" t="inlineStr">
        <is>
          <t>fallback_reason</t>
        </is>
      </c>
      <c r="J1" s="1" t="inlineStr">
        <is>
          <t>elapsed</t>
        </is>
      </c>
      <c r="K1" s="1" t="inlineStr">
        <is>
          <t>usage_credits</t>
        </is>
      </c>
      <c r="L1" s="1" t="inlineStr">
        <is>
          <t>acceptance</t>
        </is>
      </c>
      <c r="M1" s="1" t="inlineStr">
        <is>
          <t>rollout_ref</t>
        </is>
      </c>
    </row>
    <row r="2" ht="48" customHeight="1">
      <c r="A2" s="2" t="inlineStr">
        <is>
          <t>N-0001</t>
        </is>
      </c>
      <c r="B2" s="2" t="inlineStr">
        <is>
          <t>orchestrator</t>
        </is>
      </c>
      <c r="C2" s="2" t="inlineStr">
        <is>
          <t>grok-4.6</t>
        </is>
      </c>
      <c r="D2" s="2" t="inlineStr">
        <is>
          <t>xhigh</t>
        </is>
      </c>
      <c r="E2" s="2" t="inlineStr">
        <is>
          <t>grok-4.6</t>
        </is>
      </c>
      <c r="F2" s="2" t="inlineStr">
        <is>
          <t>medium (host)</t>
        </is>
      </c>
      <c r="G2" s="2" t="inlineStr">
        <is>
          <t>Grok Build / T3 Code</t>
        </is>
      </c>
      <c r="H2" s="2" t="inlineStr">
        <is>
          <t>Grok harness</t>
        </is>
      </c>
      <c r="I2" s="2" t="inlineStr">
        <is>
          <t>Luna/Sol/Terra spawn pairs are not available; routing receipt Unverifiable for OpenAI tiers</t>
        </is>
      </c>
      <c r="J2" s="2" t="inlineStr">
        <is>
          <t>Unverifiable</t>
        </is>
      </c>
      <c r="K2" s="2" t="inlineStr">
        <is>
          <t>Unverifiable</t>
        </is>
      </c>
      <c r="L2" s="2" t="inlineStr">
        <is>
          <t>n/a</t>
        </is>
      </c>
      <c r="M2" s="2" t="inlineStr">
        <is>
          <t>Unverifiable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surface</t>
        </is>
      </c>
      <c r="B1" s="1" t="inlineStr">
        <is>
          <t>story</t>
        </is>
      </c>
      <c r="C1" s="1" t="inlineStr">
        <is>
          <t>evidence</t>
        </is>
      </c>
      <c r="D1" s="1" t="inlineStr">
        <is>
          <t>criteria</t>
        </is>
      </c>
      <c r="E1" s="1" t="inlineStr">
        <is>
          <t>ux_defects</t>
        </is>
      </c>
      <c r="F1" s="1" t="inlineStr">
        <is>
          <t>ux_opportunities</t>
        </is>
      </c>
      <c r="G1" s="1" t="inlineStr">
        <is>
          <t>no_finding</t>
        </is>
      </c>
      <c r="H1" s="1" t="inlineStr">
        <is>
          <t>limitation</t>
        </is>
      </c>
    </row>
    <row r="2" ht="48" customHeight="1">
      <c r="A2" s="2" t="inlineStr">
        <is>
          <t>Settings Cloud Analysis</t>
        </is>
      </c>
      <c r="B2" s="2" t="inlineStr">
        <is>
          <t>F-0001/F-0002</t>
        </is>
      </c>
      <c r="C2" s="2" t="inlineStr">
        <is>
          <t>qa/evidence/01-settings-cloud.png</t>
        </is>
      </c>
      <c r="D2" s="2" t="inlineStr">
        <is>
          <t>hierarchy, copy, empty key, destructive remove</t>
        </is>
      </c>
      <c r="E2" s="2" t="inlineStr"/>
      <c r="F2" s="2" t="inlineStr"/>
      <c r="G2" s="2" t="inlineStr">
        <is>
          <t>No extra opportunity beyond key empty state working</t>
        </is>
      </c>
      <c r="H2" s="2" t="inlineStr">
        <is>
          <t>Toggle cropped in first shot; footer visible</t>
        </is>
      </c>
    </row>
    <row r="3" ht="48" customHeight="1">
      <c r="A3" s="2" t="inlineStr">
        <is>
          <t>Reader before analyze</t>
        </is>
      </c>
      <c r="B3" s="2" t="inlineStr">
        <is>
          <t>F-0003/F-0004/F-0016</t>
        </is>
      </c>
      <c r="C3" s="2" t="inlineStr">
        <is>
          <t>qa/evidence/02-reader-before-analyze.png</t>
        </is>
      </c>
      <c r="D3" s="2" t="inlineStr">
        <is>
          <t>discoverability, trust copy, RTL</t>
        </is>
      </c>
      <c r="E3" s="2" t="inlineStr"/>
      <c r="F3" s="2" t="inlineStr">
        <is>
          <t>UX-0002</t>
        </is>
      </c>
      <c r="G3" s="2" t="inlineStr"/>
      <c r="H3" s="2" t="inlineStr"/>
    </row>
    <row r="4" ht="48" customHeight="1">
      <c r="A4" s="2" t="inlineStr">
        <is>
          <t>Reader after analyze</t>
        </is>
      </c>
      <c r="B4" s="2" t="inlineStr">
        <is>
          <t>F-0006/F-0012/F-0014</t>
        </is>
      </c>
      <c r="C4" s="2" t="inlineStr">
        <is>
          <t>qa/evidence/03-reader-after-analyze.png</t>
        </is>
      </c>
      <c r="D4" s="2" t="inlineStr">
        <is>
          <t>grouping, badges, empty kind, RTL</t>
        </is>
      </c>
      <c r="E4" s="2" t="inlineStr">
        <is>
          <t>D-0001</t>
        </is>
      </c>
      <c r="F4" s="2" t="inlineStr"/>
      <c r="G4" s="2" t="inlineStr"/>
      <c r="H4" s="2" t="inlineStr"/>
    </row>
    <row r="5" ht="48" customHeight="1">
      <c r="A5" s="2" t="inlineStr">
        <is>
          <t>Confirm</t>
        </is>
      </c>
      <c r="B5" s="2" t="inlineStr">
        <is>
          <t>F-0007</t>
        </is>
      </c>
      <c r="C5" s="2" t="inlineStr">
        <is>
          <t>qa/evidence/06-after-confirm.png</t>
        </is>
      </c>
      <c r="D5" s="2" t="inlineStr">
        <is>
          <t>feedback, badge change</t>
        </is>
      </c>
      <c r="E5" s="2" t="inlineStr"/>
      <c r="F5" s="2" t="inlineStr"/>
      <c r="G5" s="2" t="inlineStr">
        <is>
          <t>No evidence-backed opportunity found</t>
        </is>
      </c>
      <c r="H5" s="2" t="inlineStr"/>
    </row>
    <row r="6" ht="48" customHeight="1">
      <c r="A6" s="2" t="inlineStr">
        <is>
          <t>Dismiss</t>
        </is>
      </c>
      <c r="B6" s="2" t="inlineStr">
        <is>
          <t>F-0008</t>
        </is>
      </c>
      <c r="C6" s="2" t="inlineStr">
        <is>
          <t>qa/evidence/08-source-and-dismiss.png</t>
        </is>
      </c>
      <c r="D6" s="2" t="inlineStr">
        <is>
          <t>feedback, transcript preserved</t>
        </is>
      </c>
      <c r="E6" s="2" t="inlineStr"/>
      <c r="F6" s="2" t="inlineStr"/>
      <c r="G6" s="2" t="inlineStr">
        <is>
          <t>No evidence-backed opportunity found</t>
        </is>
      </c>
      <c r="H6" s="2" t="inlineStr"/>
    </row>
    <row r="7" ht="48" customHeight="1">
      <c r="A7" s="2" t="inlineStr">
        <is>
          <t>Source</t>
        </is>
      </c>
      <c r="B7" s="2" t="inlineStr">
        <is>
          <t>F-0009</t>
        </is>
      </c>
      <c r="C7" s="2" t="inlineStr">
        <is>
          <t>qa/evidence/08-source-and-dismiss.png</t>
        </is>
      </c>
      <c r="D7" s="2" t="inlineStr">
        <is>
          <t>orientation, highlight, scroll</t>
        </is>
      </c>
      <c r="E7" s="2" t="inlineStr">
        <is>
          <t>D-0002</t>
        </is>
      </c>
      <c r="F7" s="2" t="inlineStr">
        <is>
          <t>UX-0001</t>
        </is>
      </c>
      <c r="G7" s="2" t="inlineStr"/>
      <c r="H7" s="2" t="inlineStr">
        <is>
          <t>Short transcript; scroll not proven</t>
        </is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s="3" t="inlineStr">
        <is>
          <t>total_features</t>
        </is>
      </c>
      <c r="B2" s="4">
        <f>COUNTA(Features!A2:A50)</f>
        <v/>
      </c>
    </row>
    <row r="3">
      <c r="A3" s="3" t="inlineStr">
        <is>
          <t>in_scope_features</t>
        </is>
      </c>
      <c r="B3" s="4">
        <f>COUNTIF(Features!N2:N50,"TRUE")</f>
        <v/>
      </c>
    </row>
    <row r="4">
      <c r="A4" s="3" t="inlineStr">
        <is>
          <t>total_behaviors</t>
        </is>
      </c>
      <c r="B4" s="4">
        <f>COUNTA(Behaviors!A2:A80)</f>
        <v/>
      </c>
    </row>
    <row r="5">
      <c r="A5" s="3" t="inlineStr">
        <is>
          <t>baseline_pass</t>
        </is>
      </c>
      <c r="B5" s="4">
        <f>COUNTIFS('Test Runs'!D2:D200,"Baseline",'Test Runs'!K2:K200,"Pass")</f>
        <v/>
      </c>
    </row>
    <row r="6">
      <c r="A6" s="3" t="inlineStr">
        <is>
          <t>baseline_fail</t>
        </is>
      </c>
      <c r="B6" s="4">
        <f>COUNTIFS('Test Runs'!D2:D200,"Baseline",'Test Runs'!K2:K200,"Fail")</f>
        <v/>
      </c>
    </row>
    <row r="7">
      <c r="A7" s="3" t="inlineStr">
        <is>
          <t>baseline_blocked</t>
        </is>
      </c>
      <c r="B7" s="4">
        <f>COUNTIFS('Test Runs'!D2:D200,"Baseline",'Test Runs'!K2:K200,"Blocked")</f>
        <v/>
      </c>
    </row>
    <row r="8">
      <c r="A8" s="3" t="inlineStr">
        <is>
          <t>baseline_na</t>
        </is>
      </c>
      <c r="B8" s="4">
        <f>COUNTIFS('Test Runs'!D2:D200,"Baseline",'Test Runs'!K2:K200,"N/A")</f>
        <v/>
      </c>
    </row>
    <row r="9">
      <c r="A9" s="3" t="inlineStr">
        <is>
          <t>open_defects</t>
        </is>
      </c>
      <c r="B9" s="4">
        <f>COUNTIF(Defects!K2:K50,"Reproduced")+COUNTIF(Defects!K2:K50,"Open")</f>
        <v/>
      </c>
    </row>
    <row r="10">
      <c r="A10" s="3" t="inlineStr">
        <is>
          <t>blocked_defects</t>
        </is>
      </c>
      <c r="B10" s="4">
        <f>COUNTIF(Defects!K2:K50,"Blocked")</f>
        <v/>
      </c>
    </row>
    <row r="11">
      <c r="A11" s="3" t="inlineStr">
        <is>
          <t>verified_fixed</t>
        </is>
      </c>
      <c r="B11" s="4">
        <f>COUNTIF(Defects!K2:K50,"Verified fixed")</f>
        <v/>
      </c>
    </row>
    <row r="12">
      <c r="A12" s="3" t="inlineStr">
        <is>
          <t>ux_proposed</t>
        </is>
      </c>
      <c r="B12" s="4">
        <f>COUNTIF('UX Opportunities'!P2:P30,"Proposed")</f>
        <v/>
      </c>
    </row>
    <row r="13">
      <c r="A13" s="3" t="inlineStr">
        <is>
          <t>run_status_manual_note</t>
        </is>
      </c>
      <c r="B13" s="4" t="inlineStr">
        <is>
          <t>Derived: Incomplete until D-0001/D-0002 fixed and final regression + verifier</t>
        </is>
      </c>
    </row>
    <row r="14">
      <c r="A14" s="3" t="inlineStr">
        <is>
          <t>build</t>
        </is>
      </c>
      <c r="B14" s="4" t="inlineStr">
        <is>
          <t>Sessions Dev.app sha256:80a93ed5d29c1afa mtime 2026-09-19T14:49Z</t>
        </is>
      </c>
    </row>
    <row r="15">
      <c r="A15" s="3" t="inlineStr">
        <is>
          <t>updated_at</t>
        </is>
      </c>
      <c r="B15" s="4" t="inlineStr">
        <is>
          <t>2026-09-19T18:06:43Z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2026-09-19T18:06:43Z</dcterms:created>
  <dcterms:modified xsi:type="dcterms:W3CDTF">2026-09-19T18:06:43Z</dcterms:modified>
</cp:coreProperties>
</file>