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d03e7dfec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25f40a24f6f042e7"/>
    <x:sheet xmlns:r="http://schemas.openxmlformats.org/officeDocument/2006/relationships" name="Features" sheetId="2" r:id="R4157c4a6c59c45b6"/>
    <x:sheet xmlns:r="http://schemas.openxmlformats.org/officeDocument/2006/relationships" name="Behaviors" sheetId="3" r:id="R40afc593fd044bf3"/>
    <x:sheet xmlns:r="http://schemas.openxmlformats.org/officeDocument/2006/relationships" name="Test Runs" sheetId="4" r:id="Reb09e1298afa43ab"/>
    <x:sheet xmlns:r="http://schemas.openxmlformats.org/officeDocument/2006/relationships" name="Defects" sheetId="5" r:id="Rc0b184da1be24947"/>
    <x:sheet xmlns:r="http://schemas.openxmlformats.org/officeDocument/2006/relationships" name="UX Opportunities" sheetId="6" r:id="Ra590a98b90a64a9d"/>
    <x:sheet xmlns:r="http://schemas.openxmlformats.org/officeDocument/2006/relationships" name="Summary" sheetId="7" r:id="R06b4f6888c8c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0"/>
      <x:color rgb="FFFFFFFF"/>
      <x:name val="Carlito"/>
    </x:font>
    <x:font>
      <x:sz val="10"/>
      <x:color rgb="FF15131A"/>
      <x:name val="Carlito"/>
    </x:font>
    <x:font>
      <x:b/>
      <x:sz val="18"/>
      <x:color rgb="FFFFFFFF"/>
      <x:name val="Carlito"/>
    </x:font>
    <x:font>
      <x:b/>
      <x:sz val="11"/>
      <x:color rgb="FF4D278F"/>
      <x:name val="Carlito"/>
    </x:font>
    <x:font>
      <x:b/>
      <x:sz val="11"/>
      <x:color rgb="FFFFFFFF"/>
      <x:name val="Carlito"/>
    </x:font>
    <x:font>
      <x:sz val="11"/>
      <x:color rgb="FF15131A"/>
      <x:name val="Carlito"/>
    </x:font>
    <x:font>
      <x:sz val="11"/>
      <x:color rgb="FF6C37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131A"/>
      </x:patternFill>
    </x:fill>
    <x:fill>
      <x:patternFill patternType="solid">
        <x:fgColor rgb="FFFBFAFC"/>
      </x:patternFill>
    </x:fill>
    <x:fill>
      <x:patternFill patternType="solid">
        <x:fgColor rgb="FFE9DFFC"/>
      </x:patternFill>
    </x:fill>
    <x:fill>
      <x:patternFill patternType="solid">
        <x:fgColor rgb="FF6F42C1"/>
      </x:patternFill>
    </x:fill>
    <x:fill>
      <x:patternFill patternType="solid">
        <x:fgColor rgb="FFB54708"/>
      </x:patternFill>
    </x:fill>
    <x:fill>
      <x:patternFill patternType="solid">
        <x:fgColor rgb="FFFFF4E5"/>
      </x:patternFill>
    </x:fill>
  </x:fills>
  <x:borders count="6">
    <x:border/>
    <x:border>
      <x:left style="thin">
        <x:color rgb="FF15131A"/>
      </x:left>
      <x:top style="thin">
        <x:color rgb="FF15131A"/>
      </x:top>
      <x:bottom style="thin">
        <x:color rgb="FF15131A"/>
      </x:bottom>
    </x:border>
    <x:border>
      <x:top style="thin">
        <x:color rgb="FF15131A"/>
      </x:top>
      <x:bottom style="thin">
        <x:color rgb="FF15131A"/>
      </x:bottom>
    </x:border>
    <x:border>
      <x:right style="thin">
        <x:color rgb="FF15131A"/>
      </x:right>
      <x:top style="thin">
        <x:color rgb="FF15131A"/>
      </x:top>
      <x:bottom style="thin">
        <x:color rgb="FF15131A"/>
      </x:bottom>
    </x:border>
    <x:border>
      <x:bottom style="thin">
        <x:color rgb="FFD9D1E2"/>
      </x:bottom>
    </x:border>
    <x:border>
      <x:top style="thin">
        <x:color rgb="FFD9D1E2"/>
      </x:top>
      <x:bottom style="thin">
        <x:color rgb="FFD9D1E2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200" fontId="6" fillId="3" borderId="4" xfId="0" applyNumberFormat="1" applyFont="1" applyFill="1" applyBorder="1"/>
    <x:xf numFmtId="200" fontId="6" fillId="3" borderId="5" xfId="0" applyNumberFormat="1" applyFont="1" applyFill="1" applyBorder="1"/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f7fb1bbb4470f" /><Relationship Type="http://schemas.openxmlformats.org/officeDocument/2006/relationships/theme" Target="/xl/theme/theme1.xml" Id="Rbd046fe604bf48fb" /><Relationship Type="http://schemas.microsoft.com/office/2022/11/relationships/FeaturePropertyBag" Target="/xl/featurePropertyBag/featurePropertyBag.xml" Id="Rd89a96f10e3f4e88" /><Relationship Type="http://schemas.openxmlformats.org/officeDocument/2006/relationships/sharedStrings" Target="/xl/sharedStrings.xml" Id="R04938aac6dcd40f1" /><Relationship Type="http://schemas.openxmlformats.org/officeDocument/2006/relationships/worksheet" Target="/xl/worksheets/sheet1.xml" Id="R25f40a24f6f042e7" /><Relationship Type="http://schemas.openxmlformats.org/officeDocument/2006/relationships/worksheet" Target="/xl/worksheets/sheet2.xml" Id="R4157c4a6c59c45b6" /><Relationship Type="http://schemas.openxmlformats.org/officeDocument/2006/relationships/worksheet" Target="/xl/worksheets/sheet3.xml" Id="R40afc593fd044bf3" /><Relationship Type="http://schemas.openxmlformats.org/officeDocument/2006/relationships/worksheet" Target="/xl/worksheets/sheet4.xml" Id="Reb09e1298afa43ab" /><Relationship Type="http://schemas.openxmlformats.org/officeDocument/2006/relationships/worksheet" Target="/xl/worksheets/sheet5.xml" Id="Rc0b184da1be24947" /><Relationship Type="http://schemas.openxmlformats.org/officeDocument/2006/relationships/worksheet" Target="/xl/worksheets/sheet6.xml" Id="Ra590a98b90a64a9d" /><Relationship Type="http://schemas.openxmlformats.org/officeDocument/2006/relationships/worksheet" Target="/xl/worksheets/sheet7.xml" Id="R06b4f6888c8c49e6" /><Relationship Type="http://schemas.microsoft.com/office/2017/10/relationships/person" Target="/xl/persons/person.xml" Id="Rb7e1ec0a169e48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Ben" id="{4A4D2CE3-FE63-4D52-909E-0BCB5825FAE2}"/>
</xltc:personList>
</file>

<file path=xl/tables/table1.xml><?xml version="1.0" encoding="utf-8"?>
<x:table xmlns:x="http://schemas.openxmlformats.org/spreadsheetml/2006/main" id="1" name="RunsTable" displayName="RunsTable" ref="A1:U3" headerRowCount="1" totalsRowCount="0" totalsRowShown="0">
  <x:autoFilter ref="A1:U3"/>
  <x:tableColumns count="21">
    <x:tableColumn id="1" name="run_id"/>
    <x:tableColumn id="2" name="app"/>
    <x:tableColumn id="3" name="repository"/>
    <x:tableColumn id="4" name="commit_or_build"/>
    <x:tableColumn id="5" name="artifact_path"/>
    <x:tableColumn id="6" name="platform"/>
    <x:tableColumn id="7" name="environment"/>
    <x:tableColumn id="8" name="roles"/>
    <x:tableColumn id="9" name="permissions"/>
    <x:tableColumn id="10" name="locale"/>
    <x:tableColumn id="11" name="feature_flags"/>
    <x:tableColumn id="12" name="integrations"/>
    <x:tableColumn id="13" name="scope"/>
    <x:tableColumn id="14" name="exclusions"/>
    <x:tableColumn id="15" name="protected_actions"/>
    <x:tableColumn id="16" name="initial_token_budget"/>
    <x:tableColumn id="17" name="remaining_tokens_checkpoint"/>
    <x:tableColumn id="18" name="phase"/>
    <x:tableColumn id="19" name="status"/>
    <x:tableColumn id="20" name="started_at"/>
    <x:tableColumn id="21" name="updated_a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FeaturesTable" displayName="FeaturesTable" ref="A1:P44" headerRowCount="1" totalsRowCount="0" totalsRowShown="0">
  <x:autoFilter ref="A1:P44"/>
  <x:tableColumns count="16">
    <x:tableColumn id="1" name="feature_id"/>
    <x:tableColumn id="2" name="area"/>
    <x:tableColumn id="3" name="surface"/>
    <x:tableColumn id="4" name="actor"/>
    <x:tableColumn id="5" name="user_story"/>
    <x:tableColumn id="6" name="user_value"/>
    <x:tableColumn id="7" name="code_evidence"/>
    <x:tableColumn id="8" name="runtime_evidence"/>
    <x:tableColumn id="9" name="source_presence"/>
    <x:tableColumn id="10" name="availability"/>
    <x:tableColumn id="11" name="expected_source"/>
    <x:tableColumn id="12" name="confidence"/>
    <x:tableColumn id="13" name="risk"/>
    <x:tableColumn id="14" name="in_scope"/>
    <x:tableColumn id="15" name="current_status"/>
    <x:tableColumn id="16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BehaviorsTable" displayName="BehaviorsTable" ref="A1:M76" headerRowCount="1" totalsRowCount="0" totalsRowShown="0">
  <x:autoFilter ref="A1:M76"/>
  <x:tableColumns count="13">
    <x:tableColumn id="1" name="behavior_id"/>
    <x:tableColumn id="2" name="feature_id"/>
    <x:tableColumn id="3" name="preconditions"/>
    <x:tableColumn id="4" name="given"/>
    <x:tableColumn id="5" name="when"/>
    <x:tableColumn id="6" name="then_expected"/>
    <x:tableColumn id="7" name="behavior_type"/>
    <x:tableColumn id="8" name="test_method"/>
    <x:tableColumn id="9" name="automation_candidate"/>
    <x:tableColumn id="10" name="risk"/>
    <x:tableColumn id="11" name="current_result"/>
    <x:tableColumn id="12" name="latest_test_run_id"/>
    <x:tableColumn id="13" name="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estRunsTable" displayName="TestRunsTable" ref="A1:O151" headerRowCount="1" totalsRowCount="0" totalsRowShown="0">
  <x:autoFilter ref="A1:O151"/>
  <x:tableColumns count="15">
    <x:tableColumn id="1" name="test_run_id"/>
    <x:tableColumn id="2" name="run_id"/>
    <x:tableColumn id="3" name="behavior_id"/>
    <x:tableColumn id="4" name="phase"/>
    <x:tableColumn id="5" name="commit_or_build"/>
    <x:tableColumn id="6" name="environment"/>
    <x:tableColumn id="7" name="preconditions"/>
    <x:tableColumn id="8" name="steps"/>
    <x:tableColumn id="9" name="expected"/>
    <x:tableColumn id="10" name="actual"/>
    <x:tableColumn id="11" name="result"/>
    <x:tableColumn id="12" name="evidence"/>
    <x:tableColumn id="13" name="tester"/>
    <x:tableColumn id="14" name="tested_at"/>
    <x:tableColumn id="15" name="not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efectsTable" displayName="DefectsTable" ref="A1:S18" headerRowCount="1" totalsRowCount="0" totalsRowShown="0">
  <x:autoFilter ref="A1:S18"/>
  <x:tableColumns count="19">
    <x:tableColumn id="1" name="defect_id"/>
    <x:tableColumn id="2" name="behavior_ids"/>
    <x:tableColumn id="3" name="fingerprint"/>
    <x:tableColumn id="4" name="category"/>
    <x:tableColumn id="5" name="severity"/>
    <x:tableColumn id="6" name="title"/>
    <x:tableColumn id="7" name="reproduction"/>
    <x:tableColumn id="8" name="expected"/>
    <x:tableColumn id="9" name="actual"/>
    <x:tableColumn id="10" name="evidence"/>
    <x:tableColumn id="11" name="status"/>
    <x:tableColumn id="12" name="approval_state"/>
    <x:tableColumn id="13" name="root_cause"/>
    <x:tableColumn id="14" name="fix_reference"/>
    <x:tableColumn id="15" name="fixed_build"/>
    <x:tableColumn id="16" name="targeted_retest_id"/>
    <x:tableColumn id="17" name="final_regression_id"/>
    <x:tableColumn id="18" name="blocker_or_acceptance_reason"/>
    <x:tableColumn id="19" name="notes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UXOpportunitiesTable" displayName="UXOpportunitiesTable" ref="A1:Q3" headerRowCount="1" totalsRowCount="0" totalsRowShown="0">
  <x:autoFilter ref="A1:Q3"/>
  <x:tableColumns count="17">
    <x:tableColumn id="1" name="opportunity_id"/>
    <x:tableColumn id="2" name="feature_ids"/>
    <x:tableColumn id="3" name="behavior_ids"/>
    <x:tableColumn id="4" name="user_journey_step"/>
    <x:tableColumn id="5" name="evidence_type"/>
    <x:tableColumn id="6" name="evidence"/>
    <x:tableColumn id="7" name="observed_friction"/>
    <x:tableColumn id="8" name="proposed_change"/>
    <x:tableColumn id="9" name="expected_user_benefit"/>
    <x:tableColumn id="10" name="priority"/>
    <x:tableColumn id="11" name="confidence"/>
    <x:tableColumn id="12" name="effort"/>
    <x:tableColumn id="13" name="risk"/>
    <x:tableColumn id="14" name="validation_method"/>
    <x:tableColumn id="15" name="visual_reference"/>
    <x:tableColumn id="16" name="status"/>
    <x:tableColumn id="17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6b199e832f46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c62438bed442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f0adbe6eec4a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32579766314c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3e0648299746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8eeca63483c4b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42" hidden="0" customWidth="1"/>
    <x:col min="5" max="5" width="30" hidden="0" customWidth="1"/>
    <x:col min="6" max="6" width="24" hidden="0" customWidth="1"/>
    <x:col min="7" max="7" width="34" hidden="0" customWidth="1"/>
    <x:col min="8" max="8" width="20" hidden="0" customWidth="1"/>
    <x:col min="9" max="9" width="36" hidden="0" customWidth="1"/>
    <x:col min="10" max="10" width="24" hidden="0" customWidth="1"/>
    <x:col min="11" max="11" width="32" hidden="0" customWidth="1"/>
    <x:col min="12" max="12" width="34" hidden="0" customWidth="1"/>
    <x:col min="13" max="13" width="48" hidden="0" customWidth="1"/>
    <x:col min="14" max="14" width="48" hidden="0" customWidth="1"/>
    <x:col min="15" max="15" width="52" hidden="0" customWidth="1"/>
    <x:col min="16" max="16" width="18" hidden="0" customWidth="1"/>
    <x:col min="17" max="17" width="22" hidden="0" customWidth="1"/>
    <x:col min="18" max="18" width="16" hidden="0" customWidth="1"/>
    <x:col min="19" max="19" width="18" hidden="0" customWidth="1"/>
    <x:col min="20" max="20" width="24" hidden="0" customWidth="1"/>
    <x:col min="21" max="21" width="24" hidden="0" customWidth="1"/>
  </x:cols>
  <x:sheetData>
    <x:row r="1" ht="34" customHeight="1">
      <x:c r="A1" s="9" t="str">
        <x:v>run_id</x:v>
      </x:c>
      <x:c r="B1" s="10" t="str">
        <x:v>app</x:v>
      </x:c>
      <x:c r="C1" s="10" t="str">
        <x:v>repository</x:v>
      </x:c>
      <x:c r="D1" s="10" t="str">
        <x:v>commit_or_build</x:v>
      </x:c>
      <x:c r="E1" s="10" t="str">
        <x:v>artifact_path</x:v>
      </x:c>
      <x:c r="F1" s="10" t="str">
        <x:v>platform</x:v>
      </x:c>
      <x:c r="G1" s="10" t="str">
        <x:v>environment</x:v>
      </x:c>
      <x:c r="H1" s="10" t="str">
        <x:v>roles</x:v>
      </x:c>
      <x:c r="I1" s="10" t="str">
        <x:v>permissions</x:v>
      </x:c>
      <x:c r="J1" s="10" t="str">
        <x:v>locale</x:v>
      </x:c>
      <x:c r="K1" s="10" t="str">
        <x:v>feature_flags</x:v>
      </x:c>
      <x:c r="L1" s="10" t="str">
        <x:v>integrations</x:v>
      </x:c>
      <x:c r="M1" s="10" t="str">
        <x:v>scope</x:v>
      </x:c>
      <x:c r="N1" s="10" t="str">
        <x:v>exclusions</x:v>
      </x:c>
      <x:c r="O1" s="10" t="str">
        <x:v>protected_actions</x:v>
      </x:c>
      <x:c r="P1" s="10" t="str">
        <x:v>initial_token_budget</x:v>
      </x:c>
      <x:c r="Q1" s="10" t="str">
        <x:v>remaining_tokens_checkpoint</x:v>
      </x:c>
      <x:c r="R1" s="10" t="str">
        <x:v>phase</x:v>
      </x:c>
      <x:c r="S1" s="10" t="str">
        <x:v>status</x:v>
      </x:c>
      <x:c r="T1" s="10" t="str">
        <x:v>started_at</x:v>
      </x:c>
      <x:c r="U1" s="11" t="str">
        <x:v>updated_at</x:v>
      </x:c>
    </x:row>
    <x:row r="2" ht="72" customHeight="1">
      <x:c r="A2" s="18" t="str">
        <x:v>RUN-20260727-01</x:v>
      </x:c>
      <x:c r="B2" s="18" t="str">
        <x:v>Cepessa Sessions</x:v>
      </x:c>
      <x:c r="C2" s="18" t="str">
        <x:v>/private/tmp/cepessa-meeting-brain-worktree</x:v>
      </x:c>
      <x:c r="D2" s="18" t="str">
        <x:v>Installed baseline executable sha256 bb850395a607edc80f4cb0d74d5de73843bf3960eff2fb69b1e7653c3717b9ff; source base e19a7a777ec17c127779ab44e371f81831c25c45</x:v>
      </x:c>
      <x:c r="E2" s="18" t="str">
        <x:v>/Applications/Sessions.app</x:v>
      </x:c>
      <x:c r="F2" s="18" t="str">
        <x:v>macOS 26.5.2 (25F84), arm64</x:v>
      </x:c>
      <x:c r="G2" s="18" t="str">
        <x:v>Installed production artifact for baseline; isolated worktree for fixes</x:v>
      </x:c>
      <x:c r="H2" s="18" t="str">
        <x:v>Local signed-in user</x:v>
      </x:c>
      <x:c r="I2" s="18" t="str">
        <x:v>Existing macOS app permissions only; no permission changes authorized</x:v>
      </x:c>
      <x:c r="J2" s="18" t="str">
        <x:v>en_IL; preferred languages en-IL, he-IL</x:v>
      </x:c>
      <x:c r="K2" s="18" t="str">
        <x:v>Existing installed artifact flags; source-only QA hooks excluded from baseline</x:v>
      </x:c>
      <x:c r="L2" s="18" t="str">
        <x:v>Local recording/transcription; external integrations observed read-only when available</x:v>
      </x:c>
      <x:c r="M2" s="18" t="str">
        <x:v>Desktop macOS user-visible windows, navigation, menus, status item, recording indicator, recording/transcription flows, settings, permissions, accessibility, error and recovery states discoverable from code and safe runtime</x:v>
      </x:c>
      <x:c r="N2" s="18" t="str">
        <x:v>Backend, mobile, firmware, non-user-visible MCP internals, destructive account actions, paid cloud calls, real external messages, production recording creation</x:v>
      </x:c>
      <x:c r="O2" s="18" t="str">
        <x:v>Do not stop/restart production; do not install/replace production; no commit, push, merge, release, migration, credential entry, cloud enablement, audio upload, or paid call</x:v>
      </x:c>
      <x:c r="P2" s="18" t="str"/>
      <x:c r="Q2" s="18" t="str"/>
      <x:c r="R2" s="18" t="str">
        <x:v>Baseline</x:v>
      </x:c>
      <x:c r="S2" s="18" t="str">
        <x:v>Baseline</x:v>
      </x:c>
      <x:c r="T2" s="18" t="n">
        <x:v>46229.958333333336</x:v>
      </x:c>
      <x:c r="U2" s="18" t="n">
        <x:v>46230.22222222222</x:v>
      </x:c>
    </x:row>
    <x:row r="3" ht="72" customHeight="1">
      <x:c r="A3" s="19" t="str">
        <x:v>RUN-20260727-02</x:v>
      </x:c>
      <x:c r="B3" s="19" t="str">
        <x:v>Cepessa Sessions</x:v>
      </x:c>
      <x:c r="C3" s="19" t="str">
        <x:v>/private/tmp/cepessa-meeting-brain-worktree</x:v>
      </x:c>
      <x:c r="D3" s="19" t="str">
        <x:v>Isolated debug build from worktree after Claude Opus 5 refactor and Codex hardening; 158 Swift tests, 1 intentional skip, 0 failures</x:v>
      </x:c>
      <x:c r="E3" s="19" t="str">
        <x:v>/tmp/cepessa-liquidqa-final.uahIic/Sessions Liquid QA Final.app</x:v>
      </x:c>
      <x:c r="F3" s="19" t="str">
        <x:v>macOS 26.5.2 (25F84), arm64</x:v>
      </x:c>
      <x:c r="G3" s="19" t="str">
        <x:v>Unsigned temporary dev bundle, unique bundle ID me.cepessa.sessions.liquidqafinal, launchd-scoped presentation harness, isolated storage root</x:v>
      </x:c>
      <x:c r="H3" s="19" t="str">
        <x:v>Local signed-in user</x:v>
      </x:c>
      <x:c r="I3" s="19" t="str">
        <x:v>No TCC changes; recording presentation state simulated without audio capture</x:v>
      </x:c>
      <x:c r="J3" s="19" t="str">
        <x:v>en_IL; preferred languages en-IL, he-IL</x:v>
      </x:c>
      <x:c r="K3" s="19" t="str">
        <x:v>CEPESSA_SESSIONS_TEST_ROOT; CEPESSA_SESSIONS_DEBUG_PRESENTATION_ONLY=1</x:v>
      </x:c>
      <x:c r="L3" s="19" t="str">
        <x:v>Local-only app; no provider enabled, no audio uploaded, no paid call</x:v>
      </x:c>
      <x:c r="M3" s="19" t="str">
        <x:v>Post-refactor UI, recording indicator states, menu-bar recovery/stop affordances, Sessions/Clips/Settings navigation, accessibility labels, test suite, storage isolation, corpus immutability</x:v>
      </x:c>
      <x:c r="N3" s="19" t="str">
        <x:v>Real microphone/system capture, OS permission grant, destructive cleanup execution, cloud services, production install/replacement, multi-display/full-screen and complete manual VoiceOver traversal</x:v>
      </x:c>
      <x:c r="O3" s="19" t="str">
        <x:v>Production PID 53535 and /Applications/Sessions.app remained untouched; no commit, push, merge, install, sign, release, audio upload, or paid call</x:v>
      </x:c>
      <x:c r="P3" s="19" t="str"/>
      <x:c r="Q3" s="19" t="str"/>
      <x:c r="R3" s="19" t="str">
        <x:v>Verification</x:v>
      </x:c>
      <x:c r="S3" s="19" t="str">
        <x:v>Incomplete</x:v>
      </x:c>
      <x:c r="T3" s="19" t="n">
        <x:v>46230.26111111111</x:v>
      </x:c>
      <x:c r="U3" s="19" t="n">
        <x:v>46230.271527777775</x:v>
      </x:c>
    </x:row>
  </x:sheetData>
  <x:dataValidations count="1">
    <x:dataValidation type="list" sqref="S2">
      <x:formula1>"Planned,Inventory,Baseline,Fixing,Regression,Verification,Verified complete,Incomplete,Blocked"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6b199e832f46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8" hidden="0" customWidth="1"/>
    <x:col min="5" max="5" width="42" hidden="0" customWidth="1"/>
    <x:col min="6" max="6" width="34" hidden="0" customWidth="1"/>
    <x:col min="7" max="7" width="46" hidden="0" customWidth="1"/>
    <x:col min="8" max="8" width="40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2" hidden="0" customWidth="1"/>
    <x:col min="15" max="15" width="20" hidden="0" customWidth="1"/>
    <x:col min="16" max="16" width="42" hidden="0" customWidth="1"/>
  </x:cols>
  <x:sheetData>
    <x:row r="1" ht="34" customHeight="1">
      <x:c r="A1" s="9" t="str">
        <x:v>feature_id</x:v>
      </x:c>
      <x:c r="B1" s="10" t="str">
        <x:v>area</x:v>
      </x:c>
      <x:c r="C1" s="10" t="str">
        <x:v>surface</x:v>
      </x:c>
      <x:c r="D1" s="10" t="str">
        <x:v>actor</x:v>
      </x:c>
      <x:c r="E1" s="10" t="str">
        <x:v>user_story</x:v>
      </x:c>
      <x:c r="F1" s="10" t="str">
        <x:v>user_value</x:v>
      </x:c>
      <x:c r="G1" s="10" t="str">
        <x:v>code_evidence</x:v>
      </x:c>
      <x:c r="H1" s="10" t="str">
        <x:v>runtime_evidence</x:v>
      </x:c>
      <x:c r="I1" s="10" t="str">
        <x:v>source_presence</x:v>
      </x:c>
      <x:c r="J1" s="10" t="str">
        <x:v>availability</x:v>
      </x:c>
      <x:c r="K1" s="10" t="str">
        <x:v>expected_source</x:v>
      </x:c>
      <x:c r="L1" s="10" t="str">
        <x:v>confidence</x:v>
      </x:c>
      <x:c r="M1" s="10" t="str">
        <x:v>risk</x:v>
      </x:c>
      <x:c r="N1" s="10" t="str">
        <x:v>in_scope</x:v>
      </x:c>
      <x:c r="O1" s="10" t="str">
        <x:v>current_status</x:v>
      </x:c>
      <x:c r="P1" s="11" t="str">
        <x:v>notes</x:v>
      </x:c>
    </x:row>
    <x:row r="2" ht="72" customHeight="1">
      <x:c r="A2" s="18" t="str">
        <x:v>F-0001</x:v>
      </x:c>
      <x:c r="B2" s="18" t="str">
        <x:v>App lifecycle</x:v>
      </x:c>
      <x:c r="C2" s="18" t="str">
        <x:v>App launch</x:v>
      </x:c>
      <x:c r="D2" s="18" t="str">
        <x:v>Local macOS user</x:v>
      </x:c>
      <x:c r="E2" s="18" t="str">
        <x:v>Launch Cepessa Sessions as a lightweight accessory app.</x:v>
      </x:c>
      <x:c r="F2" s="18" t="str">
        <x:v>Recording controls are immediately available without opening a document window.</x:v>
      </x:c>
      <x:c r="G2" s="18" t="str">
        <x:v>CepessaSessionsApp.swift:5-30</x:v>
      </x:c>
      <x:c r="H2" s="18" t="str"/>
      <x:c r="I2" s="18" t="str">
        <x:v>Code only</x:v>
      </x:c>
      <x:c r="J2" s="18" t="str">
        <x:v>Always at launch</x:v>
      </x:c>
      <x:c r="K2" s="18" t="str">
        <x:v>Contract</x:v>
      </x:c>
      <x:c r="L2" s="18" t="str">
        <x:v>High</x:v>
      </x:c>
      <x:c r="M2" s="18" t="str">
        <x:v>Medium</x:v>
      </x:c>
      <x:c r="N2" s="27" t="b">
        <x:v>1</x:v>
      </x:c>
      <x:c r="O2" s="18" t="str">
        <x:v>Inventory - reachable</x:v>
      </x:c>
      <x:c r="P2" s="18" t="str"/>
    </x:row>
    <x:row r="3" ht="72" customHeight="1">
      <x:c r="A3" s="19" t="str">
        <x:v>F-0002</x:v>
      </x:c>
      <x:c r="B3" s="19" t="str">
        <x:v>App lifecycle</x:v>
      </x:c>
      <x:c r="C3" s="19" t="str">
        <x:v>App reopen</x:v>
      </x:c>
      <x:c r="D3" s="19" t="str">
        <x:v>Local macOS user</x:v>
      </x:c>
      <x:c r="E3" s="19" t="str">
        <x:v>Reopen the app when no window is visible.</x:v>
      </x:c>
      <x:c r="F3" s="19" t="str">
        <x:v>The Sessions reading window can be recovered without relaunching.</x:v>
      </x:c>
      <x:c r="G3" s="19" t="str">
        <x:v>CepessaSessionsApp.swift:62-68</x:v>
      </x:c>
      <x:c r="H3" s="19" t="str"/>
      <x:c r="I3" s="19" t="str">
        <x:v>Code only</x:v>
      </x:c>
      <x:c r="J3" s="19" t="str">
        <x:v>Conditional: no visible window</x:v>
      </x:c>
      <x:c r="K3" s="19" t="str">
        <x:v>Inferred</x:v>
      </x:c>
      <x:c r="L3" s="19" t="str">
        <x:v>High</x:v>
      </x:c>
      <x:c r="M3" s="19" t="str">
        <x:v>Low</x:v>
      </x:c>
      <x:c r="N3" s="28" t="b">
        <x:v>1</x:v>
      </x:c>
      <x:c r="O3" s="19" t="str">
        <x:v>Inventory - reachable</x:v>
      </x:c>
      <x:c r="P3" s="19" t="str"/>
    </x:row>
    <x:row r="4" ht="72" customHeight="1">
      <x:c r="A4" s="19" t="str">
        <x:v>F-0003</x:v>
      </x:c>
      <x:c r="B4" s="19" t="str">
        <x:v>Status item</x:v>
      </x:c>
      <x:c r="C4" s="19" t="str">
        <x:v>Menu bar</x:v>
      </x:c>
      <x:c r="D4" s="19" t="str">
        <x:v>Local macOS user</x:v>
      </x:c>
      <x:c r="E4" s="19" t="str">
        <x:v>See idle, recording, transcription, failure, and queue state.</x:v>
      </x:c>
      <x:c r="F4" s="19" t="str">
        <x:v>The user can monitor work while other apps are active.</x:v>
      </x:c>
      <x:c r="G4" s="19" t="str">
        <x:v>CepessaSessionStatusBar.swift:30-66,133-159,282-310</x:v>
      </x:c>
      <x:c r="H4" s="19" t="str"/>
      <x:c r="I4" s="19" t="str">
        <x:v>Code only</x:v>
      </x:c>
      <x:c r="J4" s="19" t="str">
        <x:v>State-dependent</x:v>
      </x:c>
      <x:c r="K4" s="19" t="str">
        <x:v>Contract</x:v>
      </x:c>
      <x:c r="L4" s="19" t="str">
        <x:v>High</x:v>
      </x:c>
      <x:c r="M4" s="19" t="str">
        <x:v>Medium</x:v>
      </x:c>
      <x:c r="N4" s="28" t="b">
        <x:v>1</x:v>
      </x:c>
      <x:c r="O4" s="19" t="str">
        <x:v>Inventory - conditional</x:v>
      </x:c>
      <x:c r="P4" s="19" t="str"/>
    </x:row>
    <x:row r="5" ht="72" customHeight="1">
      <x:c r="A5" s="19" t="str">
        <x:v>F-0004</x:v>
      </x:c>
      <x:c r="B5" s="19" t="str">
        <x:v>Recording</x:v>
      </x:c>
      <x:c r="C5" s="19" t="str">
        <x:v>Status-item menu</x:v>
      </x:c>
      <x:c r="D5" s="19" t="str">
        <x:v>Local macOS user</x:v>
      </x:c>
      <x:c r="E5" s="19" t="str">
        <x:v>Start or stop a meeting recording.</x:v>
      </x:c>
      <x:c r="F5" s="19" t="str">
        <x:v>Capture can be controlled from the menu bar.</x:v>
      </x:c>
      <x:c r="G5" s="19" t="str">
        <x:v>CepessaSessionStatusBar.swift:163-170,238-240</x:v>
      </x:c>
      <x:c r="H5" s="19" t="str"/>
      <x:c r="I5" s="19" t="str">
        <x:v>Code only</x:v>
      </x:c>
      <x:c r="J5" s="19" t="str">
        <x:v>Always; label follows state</x:v>
      </x:c>
      <x:c r="K5" s="19" t="str">
        <x:v>Contract</x:v>
      </x:c>
      <x:c r="L5" s="19" t="str">
        <x:v>High</x:v>
      </x:c>
      <x:c r="M5" s="19" t="str">
        <x:v>High</x:v>
      </x:c>
      <x:c r="N5" s="28" t="b">
        <x:v>1</x:v>
      </x:c>
      <x:c r="O5" s="19" t="str">
        <x:v>Inventory - reachable</x:v>
      </x:c>
      <x:c r="P5" s="19" t="str"/>
    </x:row>
    <x:row r="6" ht="72" customHeight="1">
      <x:c r="A6" s="19" t="str">
        <x:v>F-0005</x:v>
      </x:c>
      <x:c r="B6" s="19" t="str">
        <x:v>Transcription</x:v>
      </x:c>
      <x:c r="C6" s="19" t="str">
        <x:v>Status-item menu</x:v>
      </x:c>
      <x:c r="D6" s="19" t="str">
        <x:v>Local macOS user</x:v>
      </x:c>
      <x:c r="E6" s="19" t="str">
        <x:v>Retry a failed local transcription.</x:v>
      </x:c>
      <x:c r="F6" s="19" t="str">
        <x:v>A failed transcript can recover while retained audio exists.</x:v>
      </x:c>
      <x:c r="G6" s="19" t="str">
        <x:v>CepessaSessionStatusBar.swift:172-180,242-244</x:v>
      </x:c>
      <x:c r="H6" s="19" t="str"/>
      <x:c r="I6" s="19" t="str">
        <x:v>Code only</x:v>
      </x:c>
      <x:c r="J6" s="19" t="str">
        <x:v>Conditional: failed selected session with audio</x:v>
      </x:c>
      <x:c r="K6" s="19" t="str">
        <x:v>Contract</x:v>
      </x:c>
      <x:c r="L6" s="19" t="str">
        <x:v>High</x:v>
      </x:c>
      <x:c r="M6" s="19" t="str">
        <x:v>High</x:v>
      </x:c>
      <x:c r="N6" s="28" t="b">
        <x:v>1</x:v>
      </x:c>
      <x:c r="O6" s="19" t="str">
        <x:v>Inventory - conditional</x:v>
      </x:c>
      <x:c r="P6" s="19" t="str"/>
    </x:row>
    <x:row r="7" ht="72" customHeight="1">
      <x:c r="A7" s="19" t="str">
        <x:v>F-0006</x:v>
      </x:c>
      <x:c r="B7" s="19" t="str">
        <x:v>Sessions</x:v>
      </x:c>
      <x:c r="C7" s="19" t="str">
        <x:v>Status/floating menus</x:v>
      </x:c>
      <x:c r="D7" s="19" t="str">
        <x:v>Local macOS user</x:v>
      </x:c>
      <x:c r="E7" s="19" t="str">
        <x:v>Open one of the five most recent sessions.</x:v>
      </x:c>
      <x:c r="F7" s="19" t="str">
        <x:v>Recent transcripts are available in one action.</x:v>
      </x:c>
      <x:c r="G7" s="19" t="str">
        <x:v>CepessaSessionStatusBar.swift:184-197; CepessaSessionFloatingBar.swift:333-348</x:v>
      </x:c>
      <x:c r="H7" s="19" t="str"/>
      <x:c r="I7" s="19" t="str">
        <x:v>Code only</x:v>
      </x:c>
      <x:c r="J7" s="19" t="str">
        <x:v>Conditional: stored sessions exist</x:v>
      </x:c>
      <x:c r="K7" s="19" t="str">
        <x:v>Inferred</x:v>
      </x:c>
      <x:c r="L7" s="19" t="str">
        <x:v>High</x:v>
      </x:c>
      <x:c r="M7" s="19" t="str">
        <x:v>Low</x:v>
      </x:c>
      <x:c r="N7" s="28" t="b">
        <x:v>1</x:v>
      </x:c>
      <x:c r="O7" s="19" t="str">
        <x:v>Inventory - conditional</x:v>
      </x:c>
      <x:c r="P7" s="19" t="str"/>
    </x:row>
    <x:row r="8" ht="72" customHeight="1">
      <x:c r="A8" s="19" t="str">
        <x:v>F-0007</x:v>
      </x:c>
      <x:c r="B8" s="19" t="str">
        <x:v>Sessions</x:v>
      </x:c>
      <x:c r="C8" s="19" t="str">
        <x:v>Status/floating menus</x:v>
      </x:c>
      <x:c r="D8" s="19" t="str">
        <x:v>Local macOS user</x:v>
      </x:c>
      <x:c r="E8" s="19" t="str">
        <x:v>Open All Sessions.</x:v>
      </x:c>
      <x:c r="F8" s="19" t="str">
        <x:v>The main reading surface is available on demand.</x:v>
      </x:c>
      <x:c r="G8" s="19" t="str">
        <x:v>CepessaSessionStatusBar.swift:199-202; CepessaSessionsApp.swift:162-174</x:v>
      </x:c>
      <x:c r="H8" s="19" t="str"/>
      <x:c r="I8" s="19" t="str">
        <x:v>Code only</x:v>
      </x:c>
      <x:c r="J8" s="19" t="str">
        <x:v>Always</x:v>
      </x:c>
      <x:c r="K8" s="19" t="str">
        <x:v>Contract</x:v>
      </x:c>
      <x:c r="L8" s="19" t="str">
        <x:v>High</x:v>
      </x:c>
      <x:c r="M8" s="19" t="str">
        <x:v>Low</x:v>
      </x:c>
      <x:c r="N8" s="28" t="b">
        <x:v>1</x:v>
      </x:c>
      <x:c r="O8" s="19" t="str">
        <x:v>Inventory - reachable</x:v>
      </x:c>
      <x:c r="P8" s="19" t="str"/>
    </x:row>
    <x:row r="9" ht="72" customHeight="1">
      <x:c r="A9" s="19" t="str">
        <x:v>F-0008</x:v>
      </x:c>
      <x:c r="B9" s="19" t="str">
        <x:v>Clips</x:v>
      </x:c>
      <x:c r="C9" s="19" t="str">
        <x:v>Status/floating menus</x:v>
      </x:c>
      <x:c r="D9" s="19" t="str">
        <x:v>Local macOS user</x:v>
      </x:c>
      <x:c r="E9" s="19" t="str">
        <x:v>Open the Clips workspace.</x:v>
      </x:c>
      <x:c r="F9" s="19" t="str">
        <x:v>Visual agent handoffs are available on demand.</x:v>
      </x:c>
      <x:c r="G9" s="19" t="str">
        <x:v>CepessaSessionStatusBar.swift:204-207; CepessaSessionsApp.swift:162-174</x:v>
      </x:c>
      <x:c r="H9" s="19" t="str"/>
      <x:c r="I9" s="19" t="str">
        <x:v>Code only</x:v>
      </x:c>
      <x:c r="J9" s="19" t="str">
        <x:v>Always</x:v>
      </x:c>
      <x:c r="K9" s="19" t="str">
        <x:v>Contract</x:v>
      </x:c>
      <x:c r="L9" s="19" t="str">
        <x:v>High</x:v>
      </x:c>
      <x:c r="M9" s="19" t="str">
        <x:v>Low</x:v>
      </x:c>
      <x:c r="N9" s="28" t="b">
        <x:v>1</x:v>
      </x:c>
      <x:c r="O9" s="19" t="str">
        <x:v>Inventory - reachable</x:v>
      </x:c>
      <x:c r="P9" s="19" t="str"/>
    </x:row>
    <x:row r="10" ht="72" customHeight="1">
      <x:c r="A10" s="19" t="str">
        <x:v>F-0009</x:v>
      </x:c>
      <x:c r="B10" s="19" t="str">
        <x:v>Audio import</x:v>
      </x:c>
      <x:c r="C10" s="19" t="str">
        <x:v>Native open panel</x:v>
      </x:c>
      <x:c r="D10" s="19" t="str">
        <x:v>Local macOS user</x:v>
      </x:c>
      <x:c r="E10" s="19" t="str">
        <x:v>Import one existing audio file for local transcription.</x:v>
      </x:c>
      <x:c r="F10" s="19" t="str">
        <x:v>Existing recordings can enter the same local transcript pipeline.</x:v>
      </x:c>
      <x:c r="G10" s="19" t="str">
        <x:v>CepessaSessionsApp.swift:115-129; LocalMeetingAppModel.swift:251-299</x:v>
      </x:c>
      <x:c r="H10" s="19" t="str"/>
      <x:c r="I10" s="19" t="str">
        <x:v>Code only</x:v>
      </x:c>
      <x:c r="J10" s="19" t="str">
        <x:v>OS-mediated; one audio file</x:v>
      </x:c>
      <x:c r="K10" s="19" t="str">
        <x:v>Contract</x:v>
      </x:c>
      <x:c r="L10" s="19" t="str">
        <x:v>High</x:v>
      </x:c>
      <x:c r="M10" s="19" t="str">
        <x:v>High</x:v>
      </x:c>
      <x:c r="N10" s="28" t="b">
        <x:v>1</x:v>
      </x:c>
      <x:c r="O10" s="19" t="str">
        <x:v>Inventory - OS-mediated</x:v>
      </x:c>
      <x:c r="P10" s="19" t="str"/>
    </x:row>
    <x:row r="11" ht="72" customHeight="1">
      <x:c r="A11" s="19" t="str">
        <x:v>F-0010</x:v>
      </x:c>
      <x:c r="B11" s="19" t="str">
        <x:v>Floating bar</x:v>
      </x:c>
      <x:c r="C11" s="19" t="str">
        <x:v>Status menu / Settings</x:v>
      </x:c>
      <x:c r="D11" s="19" t="str">
        <x:v>Local macOS user</x:v>
      </x:c>
      <x:c r="E11" s="19" t="str">
        <x:v>Show or hide the floating recording bar.</x:v>
      </x:c>
      <x:c r="F11" s="19" t="str">
        <x:v>The user can control whether the persistent bar occupies the screen.</x:v>
      </x:c>
      <x:c r="G11" s="19" t="str">
        <x:v>CepessaSessionStatusBar.swift:216-223; CepessaSessionFloatingBar.swift:319-324,790-809</x:v>
      </x:c>
      <x:c r="H11" s="19" t="str"/>
      <x:c r="I11" s="19" t="str">
        <x:v>Code only</x:v>
      </x:c>
      <x:c r="J11" s="19" t="str">
        <x:v>Transient menu control and persistent preference</x:v>
      </x:c>
      <x:c r="K11" s="19" t="str">
        <x:v>Contract</x:v>
      </x:c>
      <x:c r="L11" s="19" t="str">
        <x:v>High</x:v>
      </x:c>
      <x:c r="M11" s="19" t="str">
        <x:v>Medium</x:v>
      </x:c>
      <x:c r="N11" s="28" t="b">
        <x:v>1</x:v>
      </x:c>
      <x:c r="O11" s="19" t="str">
        <x:v>Inventory - reachable</x:v>
      </x:c>
      <x:c r="P11" s="19" t="str"/>
    </x:row>
    <x:row r="12" ht="72" customHeight="1">
      <x:c r="A12" s="19" t="str">
        <x:v>F-0011</x:v>
      </x:c>
      <x:c r="B12" s="19" t="str">
        <x:v>Settings</x:v>
      </x:c>
      <x:c r="C12" s="19" t="str">
        <x:v>Status/floating menus</x:v>
      </x:c>
      <x:c r="D12" s="19" t="str">
        <x:v>Local macOS user</x:v>
      </x:c>
      <x:c r="E12" s="19" t="str">
        <x:v>Open Workspace Settings.</x:v>
      </x:c>
      <x:c r="F12" s="19" t="str">
        <x:v>Capture, permissions, and storage controls are discoverable.</x:v>
      </x:c>
      <x:c r="G12" s="19" t="str">
        <x:v>CepessaSessionStatusBar.swift:225-228,272-274; CepessaSessionsApp.swift:107-113</x:v>
      </x:c>
      <x:c r="H12" s="19" t="str"/>
      <x:c r="I12" s="19" t="str">
        <x:v>Code only</x:v>
      </x:c>
      <x:c r="J12" s="19" t="str">
        <x:v>Always</x:v>
      </x:c>
      <x:c r="K12" s="19" t="str">
        <x:v>Contract</x:v>
      </x:c>
      <x:c r="L12" s="19" t="str">
        <x:v>High</x:v>
      </x:c>
      <x:c r="M12" s="19" t="str">
        <x:v>Low</x:v>
      </x:c>
      <x:c r="N12" s="28" t="b">
        <x:v>1</x:v>
      </x:c>
      <x:c r="O12" s="19" t="str">
        <x:v>Inventory - reachable</x:v>
      </x:c>
      <x:c r="P12" s="19" t="str"/>
    </x:row>
    <x:row r="13" ht="72" customHeight="1">
      <x:c r="A13" s="19" t="str">
        <x:v>F-0012</x:v>
      </x:c>
      <x:c r="B13" s="19" t="str">
        <x:v>App lifecycle</x:v>
      </x:c>
      <x:c r="C13" s="19" t="str">
        <x:v>Status/floating menus</x:v>
      </x:c>
      <x:c r="D13" s="19" t="str">
        <x:v>Local macOS user</x:v>
      </x:c>
      <x:c r="E13" s="19" t="str">
        <x:v>Quit Cepessa Sessions.</x:v>
      </x:c>
      <x:c r="F13" s="19" t="str">
        <x:v>The accessory app can be terminated explicitly.</x:v>
      </x:c>
      <x:c r="G13" s="19" t="str">
        <x:v>CepessaSessionStatusBar.swift:230-235,276-278; CepessaSessionFloatingBar.swift:382-416</x:v>
      </x:c>
      <x:c r="H13" s="19" t="str"/>
      <x:c r="I13" s="19" t="str">
        <x:v>Code only</x:v>
      </x:c>
      <x:c r="J13" s="19" t="str">
        <x:v>Always</x:v>
      </x:c>
      <x:c r="K13" s="19" t="str">
        <x:v>Contract</x:v>
      </x:c>
      <x:c r="L13" s="19" t="str">
        <x:v>High</x:v>
      </x:c>
      <x:c r="M13" s="19" t="str">
        <x:v>Low</x:v>
      </x:c>
      <x:c r="N13" s="28" t="b">
        <x:v>1</x:v>
      </x:c>
      <x:c r="O13" s="19" t="str">
        <x:v>Inventory - reachable</x:v>
      </x:c>
      <x:c r="P13" s="19" t="str"/>
    </x:row>
    <x:row r="14" ht="72" customHeight="1">
      <x:c r="A14" s="19" t="str">
        <x:v>F-0013</x:v>
      </x:c>
      <x:c r="B14" s="19" t="str">
        <x:v>Recording</x:v>
      </x:c>
      <x:c r="C14" s="19" t="str">
        <x:v>Floating bar</x:v>
      </x:c>
      <x:c r="D14" s="19" t="str">
        <x:v>Local macOS user</x:v>
      </x:c>
      <x:c r="E14" s="19" t="str">
        <x:v>Start recording from the idle bar.</x:v>
      </x:c>
      <x:c r="F14" s="19" t="str">
        <x:v>Capture starts without opening a menu or window.</x:v>
      </x:c>
      <x:c r="G14" s="19" t="str">
        <x:v>CepessaSessionFloatingBar.swift:1306-1320</x:v>
      </x:c>
      <x:c r="H14" s="19" t="str"/>
      <x:c r="I14" s="19" t="str">
        <x:v>Code only</x:v>
      </x:c>
      <x:c r="J14" s="19" t="str">
        <x:v>Conditional: idle bar visible</x:v>
      </x:c>
      <x:c r="K14" s="19" t="str">
        <x:v>Contract</x:v>
      </x:c>
      <x:c r="L14" s="19" t="str">
        <x:v>High</x:v>
      </x:c>
      <x:c r="M14" s="19" t="str">
        <x:v>High</x:v>
      </x:c>
      <x:c r="N14" s="28" t="b">
        <x:v>1</x:v>
      </x:c>
      <x:c r="O14" s="19" t="str">
        <x:v>Inventory - reachable</x:v>
      </x:c>
      <x:c r="P14" s="19" t="str"/>
    </x:row>
    <x:row r="15" ht="72" customHeight="1">
      <x:c r="A15" s="19" t="str">
        <x:v>F-0014</x:v>
      </x:c>
      <x:c r="B15" s="19" t="str">
        <x:v>Recording controls</x:v>
      </x:c>
      <x:c r="C15" s="19" t="str">
        <x:v>Floating bar</x:v>
      </x:c>
      <x:c r="D15" s="19" t="str">
        <x:v>Local macOS user</x:v>
      </x:c>
      <x:c r="E15" s="19" t="str">
        <x:v>Reveal or collapse the recording controls deliberately.</x:v>
      </x:c>
      <x:c r="F15" s="19" t="str">
        <x:v>Controls remain available without permanently consuming screen space.</x:v>
      </x:c>
      <x:c r="G15" s="19" t="str">
        <x:v>CepessaSessionFloatingBar.swift; CepessaSessionIndicatorModel.swift</x:v>
      </x:c>
      <x:c r="H15" s="19" t="str"/>
      <x:c r="I15" s="19" t="str">
        <x:v>Code only</x:v>
      </x:c>
      <x:c r="J15" s="19" t="str">
        <x:v>Conditional: recording</x:v>
      </x:c>
      <x:c r="K15" s="19" t="str">
        <x:v>Contract</x:v>
      </x:c>
      <x:c r="L15" s="19" t="str">
        <x:v>High</x:v>
      </x:c>
      <x:c r="M15" s="19" t="str">
        <x:v>Medium</x:v>
      </x:c>
      <x:c r="N15" s="28" t="b">
        <x:v>1</x:v>
      </x:c>
      <x:c r="O15" s="19" t="str">
        <x:v>Verified in isolated dev app</x:v>
      </x:c>
      <x:c r="P15" s="19" t="str"/>
    </x:row>
    <x:row r="16" ht="72" customHeight="1">
      <x:c r="A16" s="19" t="str">
        <x:v>F-0015</x:v>
      </x:c>
      <x:c r="B16" s="19" t="str">
        <x:v>Floating bar</x:v>
      </x:c>
      <x:c r="C16" s="19" t="str">
        <x:v>Recording bar/context menu</x:v>
      </x:c>
      <x:c r="D16" s="19" t="str">
        <x:v>Local macOS user</x:v>
      </x:c>
      <x:c r="E16" s="19" t="str">
        <x:v>Hide the bar for the current recording.</x:v>
      </x:c>
      <x:c r="F16" s="19" t="str">
        <x:v>The user can remove the overlay temporarily.</x:v>
      </x:c>
      <x:c r="G16" s="19" t="str">
        <x:v>CepessaSessionFloatingBar.swift:99-141,1425-1431</x:v>
      </x:c>
      <x:c r="H16" s="19" t="str"/>
      <x:c r="I16" s="19" t="str">
        <x:v>Code only</x:v>
      </x:c>
      <x:c r="J16" s="19" t="str">
        <x:v>Conditional: recording; resets on state change</x:v>
      </x:c>
      <x:c r="K16" s="19" t="str">
        <x:v>Contract</x:v>
      </x:c>
      <x:c r="L16" s="19" t="str">
        <x:v>High</x:v>
      </x:c>
      <x:c r="M16" s="19" t="str">
        <x:v>Medium</x:v>
      </x:c>
      <x:c r="N16" s="28" t="b">
        <x:v>1</x:v>
      </x:c>
      <x:c r="O16" s="19" t="str">
        <x:v>Inventory - conditional</x:v>
      </x:c>
      <x:c r="P16" s="19" t="str"/>
    </x:row>
    <x:row r="17" ht="72" customHeight="1">
      <x:c r="A17" s="19" t="str">
        <x:v>F-0016</x:v>
      </x:c>
      <x:c r="B17" s="19" t="str">
        <x:v>Audio capture</x:v>
      </x:c>
      <x:c r="C17" s="19" t="str">
        <x:v>Expanded floating bar</x:v>
      </x:c>
      <x:c r="D17" s="19" t="str">
        <x:v>Local macOS user</x:v>
      </x:c>
      <x:c r="E17" s="19" t="str">
        <x:v>Mute or unmute the microphone in the transcript mix.</x:v>
      </x:c>
      <x:c r="F17" s="19" t="str">
        <x:v>Private/local speech can be excluded while system audio continues.</x:v>
      </x:c>
      <x:c r="G17" s="19" t="str">
        <x:v>CepessaSessionFloatingBar.swift:1377-1384; LocalMeetingRecorder.swift:362-385</x:v>
      </x:c>
      <x:c r="H17" s="19" t="str"/>
      <x:c r="I17" s="19" t="str">
        <x:v>Code only</x:v>
      </x:c>
      <x:c r="J17" s="19" t="str">
        <x:v>Conditional: recording</x:v>
      </x:c>
      <x:c r="K17" s="19" t="str">
        <x:v>Contract</x:v>
      </x:c>
      <x:c r="L17" s="19" t="str">
        <x:v>High</x:v>
      </x:c>
      <x:c r="M17" s="19" t="str">
        <x:v>High</x:v>
      </x:c>
      <x:c r="N17" s="28" t="b">
        <x:v>1</x:v>
      </x:c>
      <x:c r="O17" s="19" t="str">
        <x:v>Inventory - conditional</x:v>
      </x:c>
      <x:c r="P17" s="19" t="str">
        <x:v>Any recorder message is currently classified as a failed status-item state, including the mute notice.</x:v>
      </x:c>
    </x:row>
    <x:row r="18" ht="72" customHeight="1">
      <x:c r="A18" s="19" t="str">
        <x:v>F-0017</x:v>
      </x:c>
      <x:c r="B18" s="19" t="str">
        <x:v>Capture telemetry</x:v>
      </x:c>
      <x:c r="C18" s="19" t="str">
        <x:v>Floating bar</x:v>
      </x:c>
      <x:c r="D18" s="19" t="str">
        <x:v>Local macOS user</x:v>
      </x:c>
      <x:c r="E18" s="19" t="str">
        <x:v>See timer and source-health state.</x:v>
      </x:c>
      <x:c r="F18" s="19" t="str">
        <x:v>The user can notice muted, missing, or degraded capture before the meeting ends.</x:v>
      </x:c>
      <x:c r="G18" s="19" t="str">
        <x:v>CepessaSessionFloatingBar.swift; CepessaSessionIndicatorModel.swift</x:v>
      </x:c>
      <x:c r="H18" s="19" t="str"/>
      <x:c r="I18" s="19" t="str">
        <x:v>Code only</x:v>
      </x:c>
      <x:c r="J18" s="19" t="str">
        <x:v>Conditional: recording</x:v>
      </x:c>
      <x:c r="K18" s="19" t="str">
        <x:v>Contract</x:v>
      </x:c>
      <x:c r="L18" s="19" t="str">
        <x:v>High</x:v>
      </x:c>
      <x:c r="M18" s="19" t="str">
        <x:v>High</x:v>
      </x:c>
      <x:c r="N18" s="28" t="b">
        <x:v>1</x:v>
      </x:c>
      <x:c r="O18" s="19" t="str">
        <x:v>Verified presentation state</x:v>
      </x:c>
      <x:c r="P18" s="19" t="str"/>
    </x:row>
    <x:row r="19" ht="72" customHeight="1">
      <x:c r="A19" s="19" t="str">
        <x:v>F-0018</x:v>
      </x:c>
      <x:c r="B19" s="19" t="str">
        <x:v>Attachments</x:v>
      </x:c>
      <x:c r="C19" s="19" t="str">
        <x:v>Expanded floating bar</x:v>
      </x:c>
      <x:c r="D19" s="19" t="str">
        <x:v>Local macOS user</x:v>
      </x:c>
      <x:c r="E19" s="19" t="str">
        <x:v>Capture a full display into the live session.</x:v>
      </x:c>
      <x:c r="F19" s="19" t="str">
        <x:v>Visual context is pinned to the transcript moment.</x:v>
      </x:c>
      <x:c r="G19" s="19" t="str">
        <x:v>CepessaSessionFloatingBar.swift:452-481,1386-1391</x:v>
      </x:c>
      <x:c r="H19" s="19" t="str"/>
      <x:c r="I19" s="19" t="str">
        <x:v>Code only</x:v>
      </x:c>
      <x:c r="J19" s="19" t="str">
        <x:v>Conditional: recording; OS-mediated</x:v>
      </x:c>
      <x:c r="K19" s="19" t="str">
        <x:v>Contract</x:v>
      </x:c>
      <x:c r="L19" s="19" t="str">
        <x:v>High</x:v>
      </x:c>
      <x:c r="M19" s="19" t="str">
        <x:v>High</x:v>
      </x:c>
      <x:c r="N19" s="28" t="b">
        <x:v>1</x:v>
      </x:c>
      <x:c r="O19" s="19" t="str">
        <x:v>Inventory - OS-mediated</x:v>
      </x:c>
      <x:c r="P19" s="19" t="str"/>
    </x:row>
    <x:row r="20" ht="72" customHeight="1">
      <x:c r="A20" s="19" t="str">
        <x:v>F-0019</x:v>
      </x:c>
      <x:c r="B20" s="19" t="str">
        <x:v>Attachments</x:v>
      </x:c>
      <x:c r="C20" s="19" t="str">
        <x:v>Expanded floating bar</x:v>
      </x:c>
      <x:c r="D20" s="19" t="str">
        <x:v>Local macOS user</x:v>
      </x:c>
      <x:c r="E20" s="19" t="str">
        <x:v>Capture a selected screen region.</x:v>
      </x:c>
      <x:c r="F20" s="19" t="str">
        <x:v>Focused visual evidence is pinned to the transcript moment.</x:v>
      </x:c>
      <x:c r="G20" s="19" t="str">
        <x:v>CepessaSessionFloatingBar.swift:483-487,1392-1397</x:v>
      </x:c>
      <x:c r="H20" s="19" t="str"/>
      <x:c r="I20" s="19" t="str">
        <x:v>Code only</x:v>
      </x:c>
      <x:c r="J20" s="19" t="str">
        <x:v>Conditional: recording; OS-mediated</x:v>
      </x:c>
      <x:c r="K20" s="19" t="str">
        <x:v>Contract</x:v>
      </x:c>
      <x:c r="L20" s="19" t="str">
        <x:v>High</x:v>
      </x:c>
      <x:c r="M20" s="19" t="str">
        <x:v>High</x:v>
      </x:c>
      <x:c r="N20" s="28" t="b">
        <x:v>1</x:v>
      </x:c>
      <x:c r="O20" s="19" t="str">
        <x:v>Inventory - OS-mediated</x:v>
      </x:c>
      <x:c r="P20" s="19" t="str"/>
    </x:row>
    <x:row r="21" ht="72" customHeight="1">
      <x:c r="A21" s="19" t="str">
        <x:v>F-0020</x:v>
      </x:c>
      <x:c r="B21" s="19" t="str">
        <x:v>Attachments</x:v>
      </x:c>
      <x:c r="C21" s="19" t="str">
        <x:v>Expanded floating bar</x:v>
      </x:c>
      <x:c r="D21" s="19" t="str">
        <x:v>Local macOS user</x:v>
      </x:c>
      <x:c r="E21" s="19" t="str">
        <x:v>Attach one or more files to a live session.</x:v>
      </x:c>
      <x:c r="F21" s="19" t="str">
        <x:v>Documents and artifacts share the meeting timeline.</x:v>
      </x:c>
      <x:c r="G21" s="19" t="str">
        <x:v>CepessaSessionFloatingBar.swift:489-531,1398-1403</x:v>
      </x:c>
      <x:c r="H21" s="19" t="str"/>
      <x:c r="I21" s="19" t="str">
        <x:v>Code only</x:v>
      </x:c>
      <x:c r="J21" s="19" t="str">
        <x:v>Conditional: recording; OS-mediated</x:v>
      </x:c>
      <x:c r="K21" s="19" t="str">
        <x:v>Contract</x:v>
      </x:c>
      <x:c r="L21" s="19" t="str">
        <x:v>High</x:v>
      </x:c>
      <x:c r="M21" s="19" t="str">
        <x:v>High</x:v>
      </x:c>
      <x:c r="N21" s="28" t="b">
        <x:v>1</x:v>
      </x:c>
      <x:c r="O21" s="19" t="str">
        <x:v>Inventory - OS-mediated</x:v>
      </x:c>
      <x:c r="P21" s="19" t="str"/>
    </x:row>
    <x:row r="22" ht="72" customHeight="1">
      <x:c r="A22" s="19" t="str">
        <x:v>F-0021</x:v>
      </x:c>
      <x:c r="B22" s="19" t="str">
        <x:v>Floating bar</x:v>
      </x:c>
      <x:c r="C22" s="19" t="str">
        <x:v>Floating panel</x:v>
      </x:c>
      <x:c r="D22" s="19" t="str">
        <x:v>Local macOS user</x:v>
      </x:c>
      <x:c r="E22" s="19" t="str">
        <x:v>Drag the bar and retain its position.</x:v>
      </x:c>
      <x:c r="F22" s="19" t="str">
        <x:v>The controls stay where the user placed them.</x:v>
      </x:c>
      <x:c r="G22" s="19" t="str">
        <x:v>CepessaSessionFloatingBar.swift:534-537,659-697</x:v>
      </x:c>
      <x:c r="H22" s="19" t="str"/>
      <x:c r="I22" s="19" t="str">
        <x:v>Code only</x:v>
      </x:c>
      <x:c r="J22" s="19" t="str">
        <x:v>Whenever bar is visible</x:v>
      </x:c>
      <x:c r="K22" s="19" t="str">
        <x:v>Inferred</x:v>
      </x:c>
      <x:c r="L22" s="19" t="str">
        <x:v>High</x:v>
      </x:c>
      <x:c r="M22" s="19" t="str">
        <x:v>Low</x:v>
      </x:c>
      <x:c r="N22" s="28" t="b">
        <x:v>1</x:v>
      </x:c>
      <x:c r="O22" s="19" t="str">
        <x:v>Inventory - reachable</x:v>
      </x:c>
      <x:c r="P22" s="19" t="str"/>
    </x:row>
    <x:row r="23" ht="72" customHeight="1">
      <x:c r="A23" s="19" t="str">
        <x:v>F-0022</x:v>
      </x:c>
      <x:c r="B23" s="19" t="str">
        <x:v>Transcription</x:v>
      </x:c>
      <x:c r="C23" s="19" t="str">
        <x:v>Floating bar</x:v>
      </x:c>
      <x:c r="D23" s="19" t="str">
        <x:v>Local macOS user</x:v>
      </x:c>
      <x:c r="E23" s="19" t="str">
        <x:v>See import/transcription stage or progress.</x:v>
      </x:c>
      <x:c r="F23" s="19" t="str">
        <x:v>Long local processing remains understandable.</x:v>
      </x:c>
      <x:c r="G23" s="19" t="str">
        <x:v>CepessaSessionFloatingBar.swift:713-770,1322-1347; LocalMeetingAppModel.swift:112-118,1154-1162</x:v>
      </x:c>
      <x:c r="H23" s="19" t="str"/>
      <x:c r="I23" s="19" t="str">
        <x:v>Code only</x:v>
      </x:c>
      <x:c r="J23" s="19" t="str">
        <x:v>Conditional: active processing</x:v>
      </x:c>
      <x:c r="K23" s="19" t="str">
        <x:v>Contract</x:v>
      </x:c>
      <x:c r="L23" s="19" t="str">
        <x:v>High</x:v>
      </x:c>
      <x:c r="M23" s="19" t="str">
        <x:v>Medium</x:v>
      </x:c>
      <x:c r="N23" s="28" t="b">
        <x:v>1</x:v>
      </x:c>
      <x:c r="O23" s="19" t="str">
        <x:v>Inventory - conditional</x:v>
      </x:c>
      <x:c r="P23" s="19" t="str"/>
    </x:row>
    <x:row r="24" ht="72" customHeight="1">
      <x:c r="A24" s="19" t="str">
        <x:v>F-0023</x:v>
      </x:c>
      <x:c r="B24" s="19" t="str">
        <x:v>Transcript reader</x:v>
      </x:c>
      <x:c r="C24" s="19" t="str">
        <x:v>Sessions window</x:v>
      </x:c>
      <x:c r="D24" s="19" t="str">
        <x:v>Local macOS user</x:v>
      </x:c>
      <x:c r="E24" s="19" t="str">
        <x:v>See useful empty states when no session or transcript is available.</x:v>
      </x:c>
      <x:c r="F24" s="19" t="str">
        <x:v>The next recovery action is clear.</x:v>
      </x:c>
      <x:c r="G24" s="19" t="str">
        <x:v>CepessaSessionReadingView.swift:36-45,102-129</x:v>
      </x:c>
      <x:c r="H24" s="19" t="str"/>
      <x:c r="I24" s="19" t="str">
        <x:v>Code only</x:v>
      </x:c>
      <x:c r="J24" s="19" t="str">
        <x:v>State-dependent</x:v>
      </x:c>
      <x:c r="K24" s="19" t="str">
        <x:v>Contract</x:v>
      </x:c>
      <x:c r="L24" s="19" t="str">
        <x:v>High</x:v>
      </x:c>
      <x:c r="M24" s="19" t="str">
        <x:v>Medium</x:v>
      </x:c>
      <x:c r="N24" s="28" t="b">
        <x:v>1</x:v>
      </x:c>
      <x:c r="O24" s="19" t="str">
        <x:v>Inventory - conditional</x:v>
      </x:c>
      <x:c r="P24" s="19" t="str"/>
    </x:row>
    <x:row r="25" ht="72" customHeight="1">
      <x:c r="A25" s="19" t="str">
        <x:v>F-0024</x:v>
      </x:c>
      <x:c r="B25" s="19" t="str">
        <x:v>Transcript reader</x:v>
      </x:c>
      <x:c r="C25" s="19" t="str">
        <x:v>Sessions window</x:v>
      </x:c>
      <x:c r="D25" s="19" t="str">
        <x:v>Local macOS user</x:v>
      </x:c>
      <x:c r="E25" s="19" t="str">
        <x:v>Read speaker-labelled, timestamped, selectable transcript blocks.</x:v>
      </x:c>
      <x:c r="F25" s="19" t="str">
        <x:v>Meeting speech is reviewable and attributable.</x:v>
      </x:c>
      <x:c r="G25" s="19" t="str">
        <x:v>CepessaSessionReadingView.swift:131-180</x:v>
      </x:c>
      <x:c r="H25" s="19" t="str"/>
      <x:c r="I25" s="19" t="str">
        <x:v>Code only</x:v>
      </x:c>
      <x:c r="J25" s="19" t="str">
        <x:v>Conditional: selected session with transcript</x:v>
      </x:c>
      <x:c r="K25" s="19" t="str">
        <x:v>Contract</x:v>
      </x:c>
      <x:c r="L25" s="19" t="str">
        <x:v>High</x:v>
      </x:c>
      <x:c r="M25" s="19" t="str">
        <x:v>High</x:v>
      </x:c>
      <x:c r="N25" s="28" t="b">
        <x:v>1</x:v>
      </x:c>
      <x:c r="O25" s="19" t="str">
        <x:v>Inventory - conditional</x:v>
      </x:c>
      <x:c r="P25" s="19" t="str"/>
    </x:row>
    <x:row r="26" ht="72" customHeight="1">
      <x:c r="A26" s="19" t="str">
        <x:v>F-0025</x:v>
      </x:c>
      <x:c r="B26" s="19" t="str">
        <x:v>Transcript attachments</x:v>
      </x:c>
      <x:c r="C26" s="19" t="str">
        <x:v>Sessions window</x:v>
      </x:c>
      <x:c r="D26" s="19" t="str">
        <x:v>Local macOS user</x:v>
      </x:c>
      <x:c r="E26" s="19" t="str">
        <x:v>Enlarge an inline transcript image and dismiss it.</x:v>
      </x:c>
      <x:c r="F26" s="19" t="str">
        <x:v>Screenshot detail can be inspected without leaving the transcript.</x:v>
      </x:c>
      <x:c r="G26" s="19" t="str">
        <x:v>CepessaSessionReadingView.swift:59-100,158-175</x:v>
      </x:c>
      <x:c r="H26" s="19" t="str"/>
      <x:c r="I26" s="19" t="str">
        <x:v>Code only</x:v>
      </x:c>
      <x:c r="J26" s="19" t="str">
        <x:v>Conditional: image attachment in timeline</x:v>
      </x:c>
      <x:c r="K26" s="19" t="str">
        <x:v>Contract</x:v>
      </x:c>
      <x:c r="L26" s="19" t="str">
        <x:v>High</x:v>
      </x:c>
      <x:c r="M26" s="19" t="str">
        <x:v>Medium</x:v>
      </x:c>
      <x:c r="N26" s="28" t="b">
        <x:v>1</x:v>
      </x:c>
      <x:c r="O26" s="19" t="str">
        <x:v>Inventory - conditional</x:v>
      </x:c>
      <x:c r="P26" s="19" t="str"/>
    </x:row>
    <x:row r="27" ht="72" customHeight="1">
      <x:c r="A27" s="19" t="str">
        <x:v>F-0026</x:v>
      </x:c>
      <x:c r="B27" s="19" t="str">
        <x:v>Transcript reader</x:v>
      </x:c>
      <x:c r="C27" s="19" t="str">
        <x:v>Sessions window</x:v>
      </x:c>
      <x:c r="D27" s="19" t="str">
        <x:v>Local macOS user</x:v>
      </x:c>
      <x:c r="E27" s="19" t="str">
        <x:v>Zoom reading text with pinch or keyboard shortcuts.</x:v>
      </x:c>
      <x:c r="F27" s="19" t="str">
        <x:v>Transcript reading remains comfortable and accessible.</x:v>
      </x:c>
      <x:c r="G27" s="19" t="str">
        <x:v>CepessaSessionReadingView.swift:13-33,49-58,228-248</x:v>
      </x:c>
      <x:c r="H27" s="19" t="str"/>
      <x:c r="I27" s="19" t="str">
        <x:v>Code only</x:v>
      </x:c>
      <x:c r="J27" s="19" t="str">
        <x:v>Whenever reader is open</x:v>
      </x:c>
      <x:c r="K27" s="19" t="str">
        <x:v>Contract</x:v>
      </x:c>
      <x:c r="L27" s="19" t="str">
        <x:v>High</x:v>
      </x:c>
      <x:c r="M27" s="19" t="str">
        <x:v>Low</x:v>
      </x:c>
      <x:c r="N27" s="28" t="b">
        <x:v>1</x:v>
      </x:c>
      <x:c r="O27" s="19" t="str">
        <x:v>Inventory - reachable</x:v>
      </x:c>
      <x:c r="P27" s="19" t="str"/>
    </x:row>
    <x:row r="28" ht="72" customHeight="1">
      <x:c r="A28" s="19" t="str">
        <x:v>F-0027</x:v>
      </x:c>
      <x:c r="B28" s="19" t="str">
        <x:v>Sessions</x:v>
      </x:c>
      <x:c r="C28" s="19" t="str">
        <x:v>Native window toolbar</x:v>
      </x:c>
      <x:c r="D28" s="19" t="str">
        <x:v>Local macOS user</x:v>
      </x:c>
      <x:c r="E28" s="19" t="str">
        <x:v>Choose the active session.</x:v>
      </x:c>
      <x:c r="F28" s="19" t="str">
        <x:v>The reader can switch among stored transcripts.</x:v>
      </x:c>
      <x:c r="G28" s="19" t="str">
        <x:v>CepessaSessionReadingView.swift:305-325,362-400</x:v>
      </x:c>
      <x:c r="H28" s="19" t="str"/>
      <x:c r="I28" s="19" t="str">
        <x:v>Code only</x:v>
      </x:c>
      <x:c r="J28" s="19" t="str">
        <x:v>Always; content depends on stored sessions</x:v>
      </x:c>
      <x:c r="K28" s="19" t="str">
        <x:v>Contract</x:v>
      </x:c>
      <x:c r="L28" s="19" t="str">
        <x:v>High</x:v>
      </x:c>
      <x:c r="M28" s="19" t="str">
        <x:v>Medium</x:v>
      </x:c>
      <x:c r="N28" s="28" t="b">
        <x:v>1</x:v>
      </x:c>
      <x:c r="O28" s="19" t="str">
        <x:v>Inventory - reachable</x:v>
      </x:c>
      <x:c r="P28" s="19" t="str"/>
    </x:row>
    <x:row r="29" ht="72" customHeight="1">
      <x:c r="A29" s="19" t="str">
        <x:v>F-0028</x:v>
      </x:c>
      <x:c r="B29" s="19" t="str">
        <x:v>Transcript reader</x:v>
      </x:c>
      <x:c r="C29" s="19" t="str">
        <x:v>Native window toolbar</x:v>
      </x:c>
      <x:c r="D29" s="19" t="str">
        <x:v>Local macOS user</x:v>
      </x:c>
      <x:c r="E29" s="19" t="str">
        <x:v>Avoid presenting a document-language control that does not affect output.</x:v>
      </x:c>
      <x:c r="F29" s="19" t="str">
        <x:v>The toolbar remains trustworthy and minimal.</x:v>
      </x:c>
      <x:c r="G29" s="19" t="str">
        <x:v>CepessaSessionReadingView.swift</x:v>
      </x:c>
      <x:c r="H29" s="19" t="str"/>
      <x:c r="I29" s="19" t="str">
        <x:v>Code only</x:v>
      </x:c>
      <x:c r="J29" s="19" t="str">
        <x:v>Removed from reachable toolbar</x:v>
      </x:c>
      <x:c r="K29" s="19" t="str">
        <x:v>Contract</x:v>
      </x:c>
      <x:c r="L29" s="19" t="str">
        <x:v>High</x:v>
      </x:c>
      <x:c r="M29" s="19" t="str">
        <x:v>Medium</x:v>
      </x:c>
      <x:c r="N29" s="28" t="b">
        <x:v>1</x:v>
      </x:c>
      <x:c r="O29" s="19" t="str">
        <x:v>Verified removed</x:v>
      </x:c>
      <x:c r="P29" s="19" t="str">
        <x:v>The misleading language selector was removed until a real consumer exists.</x:v>
      </x:c>
    </x:row>
    <x:row r="30" ht="72" customHeight="1">
      <x:c r="A30" s="19" t="str">
        <x:v>F-0029</x:v>
      </x:c>
      <x:c r="B30" s="19" t="str">
        <x:v>Transcription</x:v>
      </x:c>
      <x:c r="C30" s="19" t="str">
        <x:v>Native window toolbar</x:v>
      </x:c>
      <x:c r="D30" s="19" t="str">
        <x:v>Local macOS user</x:v>
      </x:c>
      <x:c r="E30" s="19" t="str">
        <x:v>Run a fresh local transcription for the selected session.</x:v>
      </x:c>
      <x:c r="F30" s="19" t="str">
        <x:v>Stored audio can be reprocessed after quality or model changes.</x:v>
      </x:c>
      <x:c r="G30" s="19" t="str">
        <x:v>CepessaSessionReadingView.swift:335-343,408-411,436-444; LocalMeetingAppModel.swift:301-324</x:v>
      </x:c>
      <x:c r="H30" s="19" t="str"/>
      <x:c r="I30" s="19" t="str">
        <x:v>Code only</x:v>
      </x:c>
      <x:c r="J30" s="19" t="str">
        <x:v>Conditional: retained audio and not processing</x:v>
      </x:c>
      <x:c r="K30" s="19" t="str">
        <x:v>Contract</x:v>
      </x:c>
      <x:c r="L30" s="19" t="str">
        <x:v>High</x:v>
      </x:c>
      <x:c r="M30" s="19" t="str">
        <x:v>High</x:v>
      </x:c>
      <x:c r="N30" s="28" t="b">
        <x:v>1</x:v>
      </x:c>
      <x:c r="O30" s="19" t="str">
        <x:v>Inventory - conditional</x:v>
      </x:c>
      <x:c r="P30" s="19" t="str"/>
    </x:row>
    <x:row r="31" ht="72" customHeight="1">
      <x:c r="A31" s="19" t="str">
        <x:v>F-0030</x:v>
      </x:c>
      <x:c r="B31" s="19" t="str">
        <x:v>Export</x:v>
      </x:c>
      <x:c r="C31" s="19" t="str">
        <x:v>Native save panel</x:v>
      </x:c>
      <x:c r="D31" s="19" t="str">
        <x:v>Local macOS user</x:v>
      </x:c>
      <x:c r="E31" s="19" t="str">
        <x:v>Export a non-empty transcript as Markdown.</x:v>
      </x:c>
      <x:c r="F31" s="19" t="str">
        <x:v>Transcript text can be shared or archived outside the app.</x:v>
      </x:c>
      <x:c r="G31" s="19" t="str">
        <x:v>CepessaSessionReadingView.swift:345-353,413-444</x:v>
      </x:c>
      <x:c r="H31" s="19" t="str"/>
      <x:c r="I31" s="19" t="str">
        <x:v>Code only</x:v>
      </x:c>
      <x:c r="J31" s="19" t="str">
        <x:v>Conditional: non-empty transcript; OS-mediated</x:v>
      </x:c>
      <x:c r="K31" s="19" t="str">
        <x:v>Contract</x:v>
      </x:c>
      <x:c r="L31" s="19" t="str">
        <x:v>High</x:v>
      </x:c>
      <x:c r="M31" s="19" t="str">
        <x:v>Medium</x:v>
      </x:c>
      <x:c r="N31" s="28" t="b">
        <x:v>1</x:v>
      </x:c>
      <x:c r="O31" s="19" t="str">
        <x:v>Inventory - OS-mediated</x:v>
      </x:c>
      <x:c r="P31" s="19" t="str">
        <x:v>Export failures are communicated only by a system beep.</x:v>
      </x:c>
    </x:row>
    <x:row r="32" ht="72" customHeight="1">
      <x:c r="A32" s="19" t="str">
        <x:v>F-0031</x:v>
      </x:c>
      <x:c r="B32" s="19" t="str">
        <x:v>Clips</x:v>
      </x:c>
      <x:c r="C32" s="19" t="str">
        <x:v>Clips window</x:v>
      </x:c>
      <x:c r="D32" s="19" t="str">
        <x:v>Local macOS user</x:v>
      </x:c>
      <x:c r="E32" s="19" t="str">
        <x:v>Browse and select Clips, including empty states.</x:v>
      </x:c>
      <x:c r="F32" s="19" t="str">
        <x:v>Existing visual handoffs can be revisited.</x:v>
      </x:c>
      <x:c r="G32" s="19" t="str">
        <x:v>LocalClipsPage.swift:49-61,231-275,299-327</x:v>
      </x:c>
      <x:c r="H32" s="19" t="str"/>
      <x:c r="I32" s="19" t="str">
        <x:v>Code only</x:v>
      </x:c>
      <x:c r="J32" s="19" t="str">
        <x:v>Always; content depends on stored Clips</x:v>
      </x:c>
      <x:c r="K32" s="19" t="str">
        <x:v>Contract</x:v>
      </x:c>
      <x:c r="L32" s="19" t="str">
        <x:v>High</x:v>
      </x:c>
      <x:c r="M32" s="19" t="str">
        <x:v>Medium</x:v>
      </x:c>
      <x:c r="N32" s="28" t="b">
        <x:v>1</x:v>
      </x:c>
      <x:c r="O32" s="19" t="str">
        <x:v>Inventory - reachable</x:v>
      </x:c>
      <x:c r="P32" s="19" t="str"/>
    </x:row>
    <x:row r="33" ht="72" customHeight="1">
      <x:c r="A33" s="19" t="str">
        <x:v>F-0032</x:v>
      </x:c>
      <x:c r="B33" s="19" t="str">
        <x:v>Clips</x:v>
      </x:c>
      <x:c r="C33" s="19" t="str">
        <x:v>Clip composer</x:v>
      </x:c>
      <x:c r="D33" s="19" t="str">
        <x:v>Local macOS user</x:v>
      </x:c>
      <x:c r="E33" s="19" t="str">
        <x:v>Set a Clip title and agent intent before recording.</x:v>
      </x:c>
      <x:c r="F33" s="19" t="str">
        <x:v>The visual handoff starts with explicit context.</x:v>
      </x:c>
      <x:c r="G33" s="19" t="str">
        <x:v>LocalClipsPage.swift:68-121; LocalClipViewModel.swift:104-133</x:v>
      </x:c>
      <x:c r="H33" s="19" t="str"/>
      <x:c r="I33" s="19" t="str">
        <x:v>Code only</x:v>
      </x:c>
      <x:c r="J33" s="19" t="str">
        <x:v>Whenever Clips is open</x:v>
      </x:c>
      <x:c r="K33" s="19" t="str">
        <x:v>Contract</x:v>
      </x:c>
      <x:c r="L33" s="19" t="str">
        <x:v>High</x:v>
      </x:c>
      <x:c r="M33" s="19" t="str">
        <x:v>Medium</x:v>
      </x:c>
      <x:c r="N33" s="28" t="b">
        <x:v>1</x:v>
      </x:c>
      <x:c r="O33" s="19" t="str">
        <x:v>Inventory - reachable</x:v>
      </x:c>
      <x:c r="P33" s="19" t="str"/>
    </x:row>
    <x:row r="34" ht="72" customHeight="1">
      <x:c r="A34" s="19" t="str">
        <x:v>F-0033</x:v>
      </x:c>
      <x:c r="B34" s="19" t="str">
        <x:v>Clips</x:v>
      </x:c>
      <x:c r="C34" s="19" t="str">
        <x:v>Clip composer</x:v>
      </x:c>
      <x:c r="D34" s="19" t="str">
        <x:v>Local macOS user</x:v>
      </x:c>
      <x:c r="E34" s="19" t="str">
        <x:v>Record and stop screen video with mic/system audio.</x:v>
      </x:c>
      <x:c r="F34" s="19" t="str">
        <x:v>An agent can inspect both what changed and the spoken explanation.</x:v>
      </x:c>
      <x:c r="G34" s="19" t="str">
        <x:v>LocalClipsPage.swift:101-128; LocalClipViewModel.swift:71-79,104-189</x:v>
      </x:c>
      <x:c r="H34" s="19" t="str"/>
      <x:c r="I34" s="19" t="str">
        <x:v>Code only</x:v>
      </x:c>
      <x:c r="J34" s="19" t="str">
        <x:v>OS-mediated; one active Clip at a time</x:v>
      </x:c>
      <x:c r="K34" s="19" t="str">
        <x:v>Contract</x:v>
      </x:c>
      <x:c r="L34" s="19" t="str">
        <x:v>High</x:v>
      </x:c>
      <x:c r="M34" s="19" t="str">
        <x:v>High</x:v>
      </x:c>
      <x:c r="N34" s="28" t="b">
        <x:v>1</x:v>
      </x:c>
      <x:c r="O34" s="19" t="str">
        <x:v>Inventory - OS-mediated</x:v>
      </x:c>
      <x:c r="P34" s="19" t="str"/>
    </x:row>
    <x:row r="35" ht="72" customHeight="1">
      <x:c r="A35" s="19" t="str">
        <x:v>F-0034</x:v>
      </x:c>
      <x:c r="B35" s="19" t="str">
        <x:v>Clips</x:v>
      </x:c>
      <x:c r="C35" s="19" t="str">
        <x:v>Clip processing</x:v>
      </x:c>
      <x:c r="D35" s="19" t="str">
        <x:v>Local macOS user</x:v>
      </x:c>
      <x:c r="E35" s="19" t="str">
        <x:v>Receive a ready Clip with transcript or an explicit degraded result.</x:v>
      </x:c>
      <x:c r="F35" s="19" t="str">
        <x:v>Visual evidence remains usable even when audio/STT fails.</x:v>
      </x:c>
      <x:c r="G35" s="19" t="str">
        <x:v>LocalClipViewModel.swift:145-172,208-249</x:v>
      </x:c>
      <x:c r="H35" s="19" t="str"/>
      <x:c r="I35" s="19" t="str">
        <x:v>Code only</x:v>
      </x:c>
      <x:c r="J35" s="19" t="str">
        <x:v>Conditional: after Clip stop</x:v>
      </x:c>
      <x:c r="K35" s="19" t="str">
        <x:v>Contract</x:v>
      </x:c>
      <x:c r="L35" s="19" t="str">
        <x:v>High</x:v>
      </x:c>
      <x:c r="M35" s="19" t="str">
        <x:v>High</x:v>
      </x:c>
      <x:c r="N35" s="28" t="b">
        <x:v>1</x:v>
      </x:c>
      <x:c r="O35" s="19" t="str">
        <x:v>Inventory - conditional</x:v>
      </x:c>
      <x:c r="P35" s="19" t="str">
        <x:v>The model deliberately uses ready status even for no-audio or transcription-failed outcomes; error text must also be asserted.</x:v>
      </x:c>
    </x:row>
    <x:row r="36" ht="72" customHeight="1">
      <x:c r="A36" s="19" t="str">
        <x:v>F-0035</x:v>
      </x:c>
      <x:c r="B36" s="19" t="str">
        <x:v>Clips / MCP</x:v>
      </x:c>
      <x:c r="C36" s="19" t="str">
        <x:v>Clip inspector</x:v>
      </x:c>
      <x:c r="D36" s="19" t="str">
        <x:v>Local macOS user</x:v>
      </x:c>
      <x:c r="E36" s="19" t="str">
        <x:v>Copy an agent prompt for the selected Clip.</x:v>
      </x:c>
      <x:c r="F36" s="19" t="str">
        <x:v>The clipboard carries the MCP instruction and local evidence paths.</x:v>
      </x:c>
      <x:c r="G36" s="19" t="str">
        <x:v>LocalClipsPage.swift:137-162; LocalClipViewModel.swift:96-102</x:v>
      </x:c>
      <x:c r="H36" s="19" t="str"/>
      <x:c r="I36" s="19" t="str">
        <x:v>Code only</x:v>
      </x:c>
      <x:c r="J36" s="19" t="str">
        <x:v>Conditional: selected Clip</x:v>
      </x:c>
      <x:c r="K36" s="19" t="str">
        <x:v>Contract</x:v>
      </x:c>
      <x:c r="L36" s="19" t="str">
        <x:v>High</x:v>
      </x:c>
      <x:c r="M36" s="19" t="str">
        <x:v>Medium</x:v>
      </x:c>
      <x:c r="N36" s="28" t="b">
        <x:v>1</x:v>
      </x:c>
      <x:c r="O36" s="19" t="str">
        <x:v>Inventory - conditional</x:v>
      </x:c>
      <x:c r="P36" s="19" t="str"/>
    </x:row>
    <x:row r="37" ht="72" customHeight="1">
      <x:c r="A37" s="19" t="str">
        <x:v>F-0036</x:v>
      </x:c>
      <x:c r="B37" s="19" t="str">
        <x:v>Clips</x:v>
      </x:c>
      <x:c r="C37" s="19" t="str">
        <x:v>Clip inspector</x:v>
      </x:c>
      <x:c r="D37" s="19" t="str">
        <x:v>Local macOS user</x:v>
      </x:c>
      <x:c r="E37" s="19" t="str">
        <x:v>Save notes/title/intent and reveal the Clip folder.</x:v>
      </x:c>
      <x:c r="F37" s="19" t="str">
        <x:v>A handoff can be refined and its local artifacts inspected.</x:v>
      </x:c>
      <x:c r="G37" s="19" t="str">
        <x:v>LocalClipsPage.swift:164-196; LocalClipViewModel.swift:81-102</x:v>
      </x:c>
      <x:c r="H37" s="19" t="str"/>
      <x:c r="I37" s="19" t="str">
        <x:v>Code only</x:v>
      </x:c>
      <x:c r="J37" s="19" t="str">
        <x:v>Conditional: selected Clip; Reveal is OS-mediated</x:v>
      </x:c>
      <x:c r="K37" s="19" t="str">
        <x:v>Contract</x:v>
      </x:c>
      <x:c r="L37" s="19" t="str">
        <x:v>High</x:v>
      </x:c>
      <x:c r="M37" s="19" t="str">
        <x:v>Medium</x:v>
      </x:c>
      <x:c r="N37" s="28" t="b">
        <x:v>1</x:v>
      </x:c>
      <x:c r="O37" s="19" t="str">
        <x:v>Inventory - conditional</x:v>
      </x:c>
      <x:c r="P37" s="19" t="str"/>
    </x:row>
    <x:row r="38" ht="72" customHeight="1">
      <x:c r="A38" s="19" t="str">
        <x:v>F-0037</x:v>
      </x:c>
      <x:c r="B38" s="19" t="str">
        <x:v>Settings</x:v>
      </x:c>
      <x:c r="C38" s="19" t="str">
        <x:v>Capture settings</x:v>
      </x:c>
      <x:c r="D38" s="19" t="str">
        <x:v>Local macOS user</x:v>
      </x:c>
      <x:c r="E38" s="19" t="str">
        <x:v>Choose transcript language preference and speed/accuracy mode.</x:v>
      </x:c>
      <x:c r="F38" s="19" t="str">
        <x:v>The next local transcription uses an appropriate bilingual model plan.</x:v>
      </x:c>
      <x:c r="G38" s="19" t="str">
        <x:v>CepessaSessionsShellPages.swift:1814-1829; LocalMeetingFileLayout.swift:51-64,219-290</x:v>
      </x:c>
      <x:c r="H38" s="19" t="str"/>
      <x:c r="I38" s="19" t="str">
        <x:v>Code only</x:v>
      </x:c>
      <x:c r="J38" s="19" t="str">
        <x:v>Always; applies to subsequent plans</x:v>
      </x:c>
      <x:c r="K38" s="19" t="str">
        <x:v>Contract</x:v>
      </x:c>
      <x:c r="L38" s="19" t="str">
        <x:v>High</x:v>
      </x:c>
      <x:c r="M38" s="19" t="str">
        <x:v>High</x:v>
      </x:c>
      <x:c r="N38" s="28" t="b">
        <x:v>1</x:v>
      </x:c>
      <x:c r="O38" s="19" t="str">
        <x:v>Inventory - reachable</x:v>
      </x:c>
      <x:c r="P38" s="19" t="str"/>
    </x:row>
    <x:row r="39" ht="72" customHeight="1">
      <x:c r="A39" s="19" t="str">
        <x:v>F-0038</x:v>
      </x:c>
      <x:c r="B39" s="19" t="str">
        <x:v>Settings</x:v>
      </x:c>
      <x:c r="C39" s="19" t="str">
        <x:v>Capture settings</x:v>
      </x:c>
      <x:c r="D39" s="19" t="str">
        <x:v>Local macOS user</x:v>
      </x:c>
      <x:c r="E39" s="19" t="str">
        <x:v>Avoid presenting an audio-retention switch that has no implementation.</x:v>
      </x:c>
      <x:c r="F39" s="19" t="str">
        <x:v>Settings remain truthful and minimal.</x:v>
      </x:c>
      <x:c r="G39" s="19" t="str">
        <x:v>CepessaSessionsShellPages.swift</x:v>
      </x:c>
      <x:c r="H39" s="19" t="str"/>
      <x:c r="I39" s="19" t="str">
        <x:v>Code only</x:v>
      </x:c>
      <x:c r="J39" s="19" t="str">
        <x:v>Removed from reachable Settings</x:v>
      </x:c>
      <x:c r="K39" s="19" t="str">
        <x:v>Contract</x:v>
      </x:c>
      <x:c r="L39" s="19" t="str">
        <x:v>High</x:v>
      </x:c>
      <x:c r="M39" s="19" t="str">
        <x:v>High</x:v>
      </x:c>
      <x:c r="N39" s="28" t="b">
        <x:v>1</x:v>
      </x:c>
      <x:c r="O39" s="19" t="str">
        <x:v>Verified removed</x:v>
      </x:c>
      <x:c r="P39" s="19" t="str">
        <x:v>The unused preference was removed rather than implying retention behavior.</x:v>
      </x:c>
    </x:row>
    <x:row r="40" ht="72" customHeight="1">
      <x:c r="A40" s="19" t="str">
        <x:v>F-0039</x:v>
      </x:c>
      <x:c r="B40" s="19" t="str">
        <x:v>Settings</x:v>
      </x:c>
      <x:c r="C40" s="19" t="str">
        <x:v>Permissions card</x:v>
      </x:c>
      <x:c r="D40" s="19" t="str">
        <x:v>Local macOS user</x:v>
      </x:c>
      <x:c r="E40" s="19" t="str">
        <x:v>See microphone/screen access and open macOS privacy panes.</x:v>
      </x:c>
      <x:c r="F40" s="19" t="str">
        <x:v>Capture blockers can be diagnosed and repaired.</x:v>
      </x:c>
      <x:c r="G40" s="19" t="str">
        <x:v>CepessaSessionsShellPages.swift:1853-1870,2053-2110</x:v>
      </x:c>
      <x:c r="H40" s="19" t="str"/>
      <x:c r="I40" s="19" t="str">
        <x:v>Code only</x:v>
      </x:c>
      <x:c r="J40" s="19" t="str">
        <x:v>OS-mediated</x:v>
      </x:c>
      <x:c r="K40" s="19" t="str">
        <x:v>Contract</x:v>
      </x:c>
      <x:c r="L40" s="19" t="str">
        <x:v>High</x:v>
      </x:c>
      <x:c r="M40" s="19" t="str">
        <x:v>High</x:v>
      </x:c>
      <x:c r="N40" s="28" t="b">
        <x:v>1</x:v>
      </x:c>
      <x:c r="O40" s="19" t="str">
        <x:v>Inventory - OS-mediated</x:v>
      </x:c>
      <x:c r="P40" s="19" t="str"/>
    </x:row>
    <x:row r="41" ht="72" customHeight="1">
      <x:c r="A41" s="19" t="str">
        <x:v>F-0040</x:v>
      </x:c>
      <x:c r="B41" s="19" t="str">
        <x:v>Settings</x:v>
      </x:c>
      <x:c r="C41" s="19" t="str">
        <x:v>Local storage card</x:v>
      </x:c>
      <x:c r="D41" s="19" t="str">
        <x:v>Local macOS user</x:v>
      </x:c>
      <x:c r="E41" s="19" t="str">
        <x:v>See storage paths/sizes, refresh them, and reveal folders.</x:v>
      </x:c>
      <x:c r="F41" s="19" t="str">
        <x:v>The user can understand and inspect local data use.</x:v>
      </x:c>
      <x:c r="G41" s="19" t="str">
        <x:v>CepessaSessionsShellPages.swift:1689-1715,1872-1911</x:v>
      </x:c>
      <x:c r="H41" s="19" t="str"/>
      <x:c r="I41" s="19" t="str">
        <x:v>Code only</x:v>
      </x:c>
      <x:c r="J41" s="19" t="str">
        <x:v>Always; Reveal is OS-mediated</x:v>
      </x:c>
      <x:c r="K41" s="19" t="str">
        <x:v>Contract</x:v>
      </x:c>
      <x:c r="L41" s="19" t="str">
        <x:v>High</x:v>
      </x:c>
      <x:c r="M41" s="19" t="str">
        <x:v>Medium</x:v>
      </x:c>
      <x:c r="N41" s="28" t="b">
        <x:v>1</x:v>
      </x:c>
      <x:c r="O41" s="19" t="str">
        <x:v>Inventory - reachable</x:v>
      </x:c>
      <x:c r="P41" s="19" t="str"/>
    </x:row>
    <x:row r="42" ht="72" customHeight="1">
      <x:c r="A42" s="19" t="str">
        <x:v>F-0041</x:v>
      </x:c>
      <x:c r="B42" s="19" t="str">
        <x:v>Settings</x:v>
      </x:c>
      <x:c r="C42" s="19" t="str">
        <x:v>Local storage card</x:v>
      </x:c>
      <x:c r="D42" s="19" t="str">
        <x:v>Local macOS user</x:v>
      </x:c>
      <x:c r="E42" s="19" t="str">
        <x:v>Clear all Sessions storage.</x:v>
      </x:c>
      <x:c r="F42" s="19" t="str">
        <x:v>The user can reclaim local disk space.</x:v>
      </x:c>
      <x:c r="G42" s="19" t="str">
        <x:v>CepessaSessionsShellPages.swift:1717-1745,1912-1915</x:v>
      </x:c>
      <x:c r="H42" s="19" t="str"/>
      <x:c r="I42" s="19" t="str">
        <x:v>Code only</x:v>
      </x:c>
      <x:c r="J42" s="19" t="str">
        <x:v>Always; destructive and immediate</x:v>
      </x:c>
      <x:c r="K42" s="19" t="str">
        <x:v>Contract</x:v>
      </x:c>
      <x:c r="L42" s="19" t="str">
        <x:v>High</x:v>
      </x:c>
      <x:c r="M42" s="19" t="str">
        <x:v>Critical</x:v>
      </x:c>
      <x:c r="N42" s="28" t="b">
        <x:v>1</x:v>
      </x:c>
      <x:c r="O42" s="19" t="str">
        <x:v>Inventory - protected destructive</x:v>
      </x:c>
      <x:c r="P42" s="19" t="str">
        <x:v>One click deletes all non-hidden children with no confirmation or recovery UI.</x:v>
      </x:c>
    </x:row>
    <x:row r="43" ht="72" customHeight="1">
      <x:c r="A43" s="19" t="str">
        <x:v>F-0042</x:v>
      </x:c>
      <x:c r="B43" s="19" t="str">
        <x:v>Settings</x:v>
      </x:c>
      <x:c r="C43" s="19" t="str">
        <x:v>Local storage card</x:v>
      </x:c>
      <x:c r="D43" s="19" t="str">
        <x:v>Local macOS user</x:v>
      </x:c>
      <x:c r="E43" s="19" t="str">
        <x:v>Clear all Clips storage.</x:v>
      </x:c>
      <x:c r="F43" s="19" t="str">
        <x:v>The user can reclaim local disk space.</x:v>
      </x:c>
      <x:c r="G43" s="19" t="str">
        <x:v>CepessaSessionsShellPages.swift:1721-1745,1916-1918</x:v>
      </x:c>
      <x:c r="H43" s="19" t="str"/>
      <x:c r="I43" s="19" t="str">
        <x:v>Code only</x:v>
      </x:c>
      <x:c r="J43" s="19" t="str">
        <x:v>Always; destructive and immediate</x:v>
      </x:c>
      <x:c r="K43" s="19" t="str">
        <x:v>Contract</x:v>
      </x:c>
      <x:c r="L43" s="19" t="str">
        <x:v>High</x:v>
      </x:c>
      <x:c r="M43" s="19" t="str">
        <x:v>Critical</x:v>
      </x:c>
      <x:c r="N43" s="28" t="b">
        <x:v>1</x:v>
      </x:c>
      <x:c r="O43" s="19" t="str">
        <x:v>Inventory - protected destructive</x:v>
      </x:c>
      <x:c r="P43" s="19" t="str">
        <x:v>One click deletes all non-hidden children with no confirmation or recovery UI.</x:v>
      </x:c>
    </x:row>
    <x:row r="44" ht="72" customHeight="1">
      <x:c r="A44" s="19" t="str">
        <x:v>F-0043</x:v>
      </x:c>
      <x:c r="B44" s="19" t="str">
        <x:v>Meeting brain / MCP</x:v>
      </x:c>
      <x:c r="C44" s="19" t="str">
        <x:v>Settings or integration surface</x:v>
      </x:c>
      <x:c r="D44" s="19" t="str">
        <x:v>Local macOS user</x:v>
      </x:c>
      <x:c r="E44" s="19" t="str">
        <x:v>Configure or inspect the meeting-brain/MCP connection.</x:v>
      </x:c>
      <x:c r="F44" s="19" t="str">
        <x:v>Sessions can feed and retrieve context from the intended meeting brain.</x:v>
      </x:c>
      <x:c r="G44" s="19" t="str">
        <x:v>Source audit found no reachable meeting-brain/MCP settings; only Clip prompt text exists.</x:v>
      </x:c>
      <x:c r="H44" s="19" t="str"/>
      <x:c r="I44" s="19" t="str">
        <x:v>Code only</x:v>
      </x:c>
      <x:c r="J44" s="19" t="str">
        <x:v>Expected but not implemented</x:v>
      </x:c>
      <x:c r="K44" s="19" t="str">
        <x:v>Contract</x:v>
      </x:c>
      <x:c r="L44" s="19" t="str">
        <x:v>High</x:v>
      </x:c>
      <x:c r="M44" s="19" t="str">
        <x:v>High</x:v>
      </x:c>
      <x:c r="N44" s="28" t="b">
        <x:v>1</x:v>
      </x:c>
      <x:c r="O44" s="19" t="str">
        <x:v>Gap - expected absent</x:v>
      </x:c>
      <x:c r="P44" s="19" t="str">
        <x:v>Code-only source_presence records evidence of absence, not an implemented source surface.</x:v>
      </x:c>
    </x:row>
  </x:sheetData>
  <x:dataValidations count="2">
    <x:dataValidation type="list" sqref="I2:I1000">
      <x:formula1>"Code only,Runtime only,Both"</x:formula1>
    </x:dataValidation>
    <x:dataValidation type="list" sqref="K2:K1000">
      <x:formula1>"Contract,Inferred,Observed only,Needs decision"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c62438bed442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34" hidden="0" customWidth="1"/>
    <x:col min="5" max="5" width="34" hidden="0" customWidth="1"/>
    <x:col min="6" max="6" width="42" hidden="0" customWidth="1"/>
    <x:col min="7" max="7" width="18" hidden="0" customWidth="1"/>
    <x:col min="8" max="8" width="28" hidden="0" customWidth="1"/>
    <x:col min="9" max="9" width="18" hidden="0" customWidth="1"/>
    <x:col min="10" max="10" width="14" hidden="0" customWidth="1"/>
    <x:col min="11" max="11" width="18" hidden="0" customWidth="1"/>
    <x:col min="12" max="12" width="18" hidden="0" customWidth="1"/>
    <x:col min="13" max="13" width="42" hidden="0" customWidth="1"/>
  </x:cols>
  <x:sheetData>
    <x:row r="1" ht="34" customHeight="1">
      <x:c r="A1" s="9" t="str">
        <x:v>behavior_id</x:v>
      </x:c>
      <x:c r="B1" s="10" t="str">
        <x:v>feature_id</x:v>
      </x:c>
      <x:c r="C1" s="10" t="str">
        <x:v>preconditions</x:v>
      </x:c>
      <x:c r="D1" s="10" t="str">
        <x:v>given</x:v>
      </x:c>
      <x:c r="E1" s="10" t="str">
        <x:v>when</x:v>
      </x:c>
      <x:c r="F1" s="10" t="str">
        <x:v>then_expected</x:v>
      </x:c>
      <x:c r="G1" s="10" t="str">
        <x:v>behavior_type</x:v>
      </x:c>
      <x:c r="H1" s="10" t="str">
        <x:v>test_method</x:v>
      </x:c>
      <x:c r="I1" s="10" t="str">
        <x:v>automation_candidate</x:v>
      </x:c>
      <x:c r="J1" s="10" t="str">
        <x:v>risk</x:v>
      </x:c>
      <x:c r="K1" s="10" t="str">
        <x:v>current_result</x:v>
      </x:c>
      <x:c r="L1" s="10" t="str">
        <x:v>latest_test_run_id</x:v>
      </x:c>
      <x:c r="M1" s="11" t="str">
        <x:v>notes</x:v>
      </x:c>
    </x:row>
    <x:row r="2" ht="72" customHeight="1">
      <x:c r="A2" s="18" t="str">
        <x:v>B-0001</x:v>
      </x:c>
      <x:c r="B2" s="18" t="str">
        <x:v>F-0001</x:v>
      </x:c>
      <x:c r="C2" s="18" t="str">
        <x:v>App is not running.</x:v>
      </x:c>
      <x:c r="D2" s="18" t="str">
        <x:v>Cepessa Sessions is launched.</x:v>
      </x:c>
      <x:c r="E2" s="18" t="str">
        <x:v>Initialization completes.</x:v>
      </x:c>
      <x:c r="F2" s="18" t="str">
        <x:v>The app remains accessory-only and initializes the status item and floating bar.</x:v>
      </x:c>
      <x:c r="G2" s="18" t="str">
        <x:v>Lifecycle</x:v>
      </x:c>
      <x:c r="H2" s="18" t="str">
        <x:v>Installed-app launch + agent-swift</x:v>
      </x:c>
      <x:c r="I2" s="18" t="str">
        <x:v>Yes</x:v>
      </x:c>
      <x:c r="J2" s="18" t="str">
        <x:v>Medium</x:v>
      </x:c>
      <x:c r="K2" s="18" t="str">
        <x:v>Not run - source inventory only</x:v>
      </x:c>
      <x:c r="L2" s="18" t="str"/>
      <x:c r="M2" s="18" t="str"/>
    </x:row>
    <x:row r="3" ht="72" customHeight="1">
      <x:c r="A3" s="19" t="str">
        <x:v>B-0002</x:v>
      </x:c>
      <x:c r="B3" s="19" t="str">
        <x:v>F-0002</x:v>
      </x:c>
      <x:c r="C3" s="19" t="str">
        <x:v>App is running with no visible windows.</x:v>
      </x:c>
      <x:c r="D3" s="19" t="str">
        <x:v>The user reopens the app.</x:v>
      </x:c>
      <x:c r="E3" s="19" t="str">
        <x:v>macOS sends the reopen event.</x:v>
      </x:c>
      <x:c r="F3" s="19" t="str">
        <x:v>The Sessions reading window becomes key and visible.</x:v>
      </x:c>
      <x:c r="G3" s="19" t="str">
        <x:v>Lifecycle</x:v>
      </x:c>
      <x:c r="H3" s="19" t="str">
        <x:v>Installed-app interaction</x:v>
      </x:c>
      <x:c r="I3" s="19" t="str">
        <x:v>Yes</x:v>
      </x:c>
      <x:c r="J3" s="19" t="str">
        <x:v>Low</x:v>
      </x:c>
      <x:c r="K3" s="19" t="str">
        <x:v>Not run - source inventory only</x:v>
      </x:c>
      <x:c r="L3" s="19" t="str"/>
      <x:c r="M3" s="19" t="str"/>
    </x:row>
    <x:row r="4" ht="72" customHeight="1">
      <x:c r="A4" s="19" t="str">
        <x:v>B-0003</x:v>
      </x:c>
      <x:c r="B4" s="19" t="str">
        <x:v>F-0003</x:v>
      </x:c>
      <x:c r="C4" s="19" t="str">
        <x:v>No recording, processing, or recorder error.</x:v>
      </x:c>
      <x:c r="D4" s="19" t="str">
        <x:v>The status item is connected.</x:v>
      </x:c>
      <x:c r="E4" s="19" t="str">
        <x:v>Its snapshot refreshes.</x:v>
      </x:c>
      <x:c r="F4" s="19" t="str">
        <x:v>The idle icon and Sessions ready status appear.</x:v>
      </x:c>
      <x:c r="G4" s="19" t="str">
        <x:v>State</x:v>
      </x:c>
      <x:c r="H4" s="19" t="str">
        <x:v>Menu/status inspection</x:v>
      </x:c>
      <x:c r="I4" s="19" t="str">
        <x:v>Partial</x:v>
      </x:c>
      <x:c r="J4" s="19" t="str">
        <x:v>Medium</x:v>
      </x:c>
      <x:c r="K4" s="19" t="str">
        <x:v>Not run - source inventory only</x:v>
      </x:c>
      <x:c r="L4" s="19" t="str"/>
      <x:c r="M4" s="19" t="str"/>
    </x:row>
    <x:row r="5" ht="72" customHeight="1">
      <x:c r="A5" s="19" t="str">
        <x:v>B-0004</x:v>
      </x:c>
      <x:c r="B5" s="19" t="str">
        <x:v>F-0003</x:v>
      </x:c>
      <x:c r="C5" s="19" t="str">
        <x:v>Recording is active.</x:v>
      </x:c>
      <x:c r="D5" s="19" t="str">
        <x:v>The recording timer changes.</x:v>
      </x:c>
      <x:c r="E5" s="19" t="str">
        <x:v>The status snapshot refreshes.</x:v>
      </x:c>
      <x:c r="F5" s="19" t="str">
        <x:v>The status item displays elapsed recording time.</x:v>
      </x:c>
      <x:c r="G5" s="19" t="str">
        <x:v>State</x:v>
      </x:c>
      <x:c r="H5" s="19" t="str">
        <x:v>Safe dev recording + status inspection</x:v>
      </x:c>
      <x:c r="I5" s="19" t="str">
        <x:v>Partial</x:v>
      </x:c>
      <x:c r="J5" s="19" t="str">
        <x:v>High</x:v>
      </x:c>
      <x:c r="K5" s="19" t="str">
        <x:v>Not run - source inventory only</x:v>
      </x:c>
      <x:c r="L5" s="19" t="str"/>
      <x:c r="M5" s="19" t="str"/>
    </x:row>
    <x:row r="6" ht="72" customHeight="1">
      <x:c r="A6" s="19" t="str">
        <x:v>B-0005</x:v>
      </x:c>
      <x:c r="B6" s="19" t="str">
        <x:v>F-0003</x:v>
      </x:c>
      <x:c r="C6" s="19" t="str">
        <x:v>Transcription is active.</x:v>
      </x:c>
      <x:c r="D6" s="19" t="str">
        <x:v>Processing progress changes.</x:v>
      </x:c>
      <x:c r="E6" s="19" t="str">
        <x:v>The status snapshot refreshes.</x:v>
      </x:c>
      <x:c r="F6" s="19" t="str">
        <x:v>The status item displays rounded percentage or ellipsis.</x:v>
      </x:c>
      <x:c r="G6" s="19" t="str">
        <x:v>State</x:v>
      </x:c>
      <x:c r="H6" s="19" t="str">
        <x:v>Fixture import + status inspection</x:v>
      </x:c>
      <x:c r="I6" s="19" t="str">
        <x:v>Partial</x:v>
      </x:c>
      <x:c r="J6" s="19" t="str">
        <x:v>Medium</x:v>
      </x:c>
      <x:c r="K6" s="19" t="str">
        <x:v>Not run - source inventory only</x:v>
      </x:c>
      <x:c r="L6" s="19" t="str"/>
      <x:c r="M6" s="19" t="str"/>
    </x:row>
    <x:row r="7" ht="72" customHeight="1">
      <x:c r="A7" s="19" t="str">
        <x:v>B-0006</x:v>
      </x:c>
      <x:c r="B7" s="19" t="str">
        <x:v>F-0003</x:v>
      </x:c>
      <x:c r="C7" s="19" t="str">
        <x:v>A non-empty recorder message exists.</x:v>
      </x:c>
      <x:c r="D7" s="19" t="str">
        <x:v>The status snapshot refreshes.</x:v>
      </x:c>
      <x:c r="E7" s="19" t="str">
        <x:v>Error precedence is evaluated.</x:v>
      </x:c>
      <x:c r="F7" s="19" t="str">
        <x:v>The status item is classified as failed and displays an exclamation marker.</x:v>
      </x:c>
      <x:c r="G7" s="19" t="str">
        <x:v>Error state</x:v>
      </x:c>
      <x:c r="H7" s="19" t="str">
        <x:v>Source assertion + dev state fixture</x:v>
      </x:c>
      <x:c r="I7" s="19" t="str">
        <x:v>Yes</x:v>
      </x:c>
      <x:c r="J7" s="19" t="str">
        <x:v>High</x:v>
      </x:c>
      <x:c r="K7" s="19" t="str">
        <x:v>Not run - source inventory only</x:v>
      </x:c>
      <x:c r="L7" s="19" t="str"/>
      <x:c r="M7" s="19" t="str">
        <x:v>Mute and degraded-capture informational messages also enter this failure branch.</x:v>
      </x:c>
    </x:row>
    <x:row r="8" ht="72" customHeight="1">
      <x:c r="A8" s="19" t="str">
        <x:v>B-0007</x:v>
      </x:c>
      <x:c r="B8" s="19" t="str">
        <x:v>F-0003</x:v>
      </x:c>
      <x:c r="C8" s="19" t="str">
        <x:v>At least two processing snapshots exist.</x:v>
      </x:c>
      <x:c r="D8" s="19" t="str">
        <x:v>The status menu is opened.</x:v>
      </x:c>
      <x:c r="E8" s="19" t="str">
        <x:v>The menu rebuilds.</x:v>
      </x:c>
      <x:c r="F8" s="19" t="str">
        <x:v>A processing-queue count row appears.</x:v>
      </x:c>
      <x:c r="G8" s="19" t="str">
        <x:v>Conditional UI</x:v>
      </x:c>
      <x:c r="H8" s="19" t="str">
        <x:v>Fixture state + menu inspection</x:v>
      </x:c>
      <x:c r="I8" s="19" t="str">
        <x:v>Yes</x:v>
      </x:c>
      <x:c r="J8" s="19" t="str">
        <x:v>Medium</x:v>
      </x:c>
      <x:c r="K8" s="19" t="str">
        <x:v>Not run - source inventory only</x:v>
      </x:c>
      <x:c r="L8" s="19" t="str"/>
      <x:c r="M8" s="19" t="str"/>
    </x:row>
    <x:row r="9" ht="72" customHeight="1">
      <x:c r="A9" s="19" t="str">
        <x:v>B-0008</x:v>
      </x:c>
      <x:c r="B9" s="19" t="str">
        <x:v>F-0004</x:v>
      </x:c>
      <x:c r="C9" s="19" t="str">
        <x:v>No recording is active.</x:v>
      </x:c>
      <x:c r="D9" s="19" t="str">
        <x:v>The status menu is open.</x:v>
      </x:c>
      <x:c r="E9" s="19" t="str">
        <x:v>Start Recording is selected.</x:v>
      </x:c>
      <x:c r="F9" s="19" t="str">
        <x:v>The recorder requests access and starts a new selected session.</x:v>
      </x:c>
      <x:c r="G9" s="19" t="str">
        <x:v>Functional</x:v>
      </x:c>
      <x:c r="H9" s="19" t="str">
        <x:v>Dev-only recording flow</x:v>
      </x:c>
      <x:c r="I9" s="19" t="str">
        <x:v>Partial</x:v>
      </x:c>
      <x:c r="J9" s="19" t="str">
        <x:v>High</x:v>
      </x:c>
      <x:c r="K9" s="19" t="str">
        <x:v>Not run - source inventory only</x:v>
      </x:c>
      <x:c r="L9" s="19" t="str"/>
      <x:c r="M9" s="19" t="str"/>
    </x:row>
    <x:row r="10" ht="72" customHeight="1">
      <x:c r="A10" s="19" t="str">
        <x:v>B-0009</x:v>
      </x:c>
      <x:c r="B10" s="19" t="str">
        <x:v>F-0004</x:v>
      </x:c>
      <x:c r="C10" s="19" t="str">
        <x:v>Recording is active.</x:v>
      </x:c>
      <x:c r="D10" s="19" t="str">
        <x:v>The status menu is open.</x:v>
      </x:c>
      <x:c r="E10" s="19" t="str">
        <x:v>Stop Recording is selected.</x:v>
      </x:c>
      <x:c r="F10" s="19" t="str">
        <x:v>Capture stops and final transcription begins.</x:v>
      </x:c>
      <x:c r="G10" s="19" t="str">
        <x:v>Functional</x:v>
      </x:c>
      <x:c r="H10" s="19" t="str">
        <x:v>Dev-only recording flow</x:v>
      </x:c>
      <x:c r="I10" s="19" t="str">
        <x:v>Partial</x:v>
      </x:c>
      <x:c r="J10" s="19" t="str">
        <x:v>High</x:v>
      </x:c>
      <x:c r="K10" s="19" t="str">
        <x:v>Not run - source inventory only</x:v>
      </x:c>
      <x:c r="L10" s="19" t="str"/>
      <x:c r="M10" s="19" t="str"/>
    </x:row>
    <x:row r="11" ht="72" customHeight="1">
      <x:c r="A11" s="19" t="str">
        <x:v>B-0010</x:v>
      </x:c>
      <x:c r="B11" s="19" t="str">
        <x:v>F-0005</x:v>
      </x:c>
      <x:c r="C11" s="19" t="str">
        <x:v>A failed selected session retains local audio and is not processing.</x:v>
      </x:c>
      <x:c r="D11" s="19" t="str">
        <x:v>Retry Transcription is visible.</x:v>
      </x:c>
      <x:c r="E11" s="19" t="str">
        <x:v>The user selects it.</x:v>
      </x:c>
      <x:c r="F11" s="19" t="str">
        <x:v>Transcript and recap reset and local transcription reruns.</x:v>
      </x:c>
      <x:c r="G11" s="19" t="str">
        <x:v>Recovery</x:v>
      </x:c>
      <x:c r="H11" s="19" t="str">
        <x:v>Copied fixture + dev app</x:v>
      </x:c>
      <x:c r="I11" s="19" t="str">
        <x:v>Partial</x:v>
      </x:c>
      <x:c r="J11" s="19" t="str">
        <x:v>High</x:v>
      </x:c>
      <x:c r="K11" s="19" t="str">
        <x:v>Not run - source inventory only</x:v>
      </x:c>
      <x:c r="L11" s="19" t="str"/>
      <x:c r="M11" s="19" t="str"/>
    </x:row>
    <x:row r="12" ht="72" customHeight="1">
      <x:c r="A12" s="19" t="str">
        <x:v>B-0011</x:v>
      </x:c>
      <x:c r="B12" s="19" t="str">
        <x:v>F-0006</x:v>
      </x:c>
      <x:c r="C12" s="19" t="str">
        <x:v>Stored sessions exist.</x:v>
      </x:c>
      <x:c r="D12" s="19" t="str">
        <x:v>A status or floating menu is opened.</x:v>
      </x:c>
      <x:c r="E12" s="19" t="str">
        <x:v>The menu is built.</x:v>
      </x:c>
      <x:c r="F12" s="19" t="str">
        <x:v>Up to the five newest sessions are listed.</x:v>
      </x:c>
      <x:c r="G12" s="19" t="str">
        <x:v>Conditional UI</x:v>
      </x:c>
      <x:c r="H12" s="19" t="str">
        <x:v>Seeded local fixture + menu inspection</x:v>
      </x:c>
      <x:c r="I12" s="19" t="str">
        <x:v>Yes</x:v>
      </x:c>
      <x:c r="J12" s="19" t="str">
        <x:v>Low</x:v>
      </x:c>
      <x:c r="K12" s="19" t="str">
        <x:v>Not run - source inventory only</x:v>
      </x:c>
      <x:c r="L12" s="19" t="str"/>
      <x:c r="M12" s="19" t="str"/>
    </x:row>
    <x:row r="13" ht="72" customHeight="1">
      <x:c r="A13" s="19" t="str">
        <x:v>B-0012</x:v>
      </x:c>
      <x:c r="B13" s="19" t="str">
        <x:v>F-0006</x:v>
      </x:c>
      <x:c r="C13" s="19" t="str">
        <x:v>A recent session is listed.</x:v>
      </x:c>
      <x:c r="D13" s="19" t="str">
        <x:v>The user selects the row.</x:v>
      </x:c>
      <x:c r="E13" s="19" t="str">
        <x:v>The action fires.</x:v>
      </x:c>
      <x:c r="F13" s="19" t="str">
        <x:v>That session becomes selected and the reading window opens.</x:v>
      </x:c>
      <x:c r="G13" s="19" t="str">
        <x:v>Navigation</x:v>
      </x:c>
      <x:c r="H13" s="19" t="str">
        <x:v>Seeded fixture + agent-swift</x:v>
      </x:c>
      <x:c r="I13" s="19" t="str">
        <x:v>Yes</x:v>
      </x:c>
      <x:c r="J13" s="19" t="str">
        <x:v>Medium</x:v>
      </x:c>
      <x:c r="K13" s="19" t="str">
        <x:v>Not run - source inventory only</x:v>
      </x:c>
      <x:c r="L13" s="19" t="str"/>
      <x:c r="M13" s="19" t="str"/>
    </x:row>
    <x:row r="14" ht="72" customHeight="1">
      <x:c r="A14" s="19" t="str">
        <x:v>B-0013</x:v>
      </x:c>
      <x:c r="B14" s="19" t="str">
        <x:v>F-0007</x:v>
      </x:c>
      <x:c r="C14" s="19" t="str">
        <x:v>A status or floating menu is open.</x:v>
      </x:c>
      <x:c r="D14" s="19" t="str">
        <x:v>All Sessions is available.</x:v>
      </x:c>
      <x:c r="E14" s="19" t="str">
        <x:v>The user selects it.</x:v>
      </x:c>
      <x:c r="F14" s="19" t="str">
        <x:v>The main window routes to the reading view.</x:v>
      </x:c>
      <x:c r="G14" s="19" t="str">
        <x:v>Navigation</x:v>
      </x:c>
      <x:c r="H14" s="19" t="str">
        <x:v>Agent-swift</x:v>
      </x:c>
      <x:c r="I14" s="19" t="str">
        <x:v>Yes</x:v>
      </x:c>
      <x:c r="J14" s="19" t="str">
        <x:v>Low</x:v>
      </x:c>
      <x:c r="K14" s="19" t="str">
        <x:v>Not run - source inventory only</x:v>
      </x:c>
      <x:c r="L14" s="19" t="str"/>
      <x:c r="M14" s="19" t="str"/>
    </x:row>
    <x:row r="15" ht="72" customHeight="1">
      <x:c r="A15" s="19" t="str">
        <x:v>B-0014</x:v>
      </x:c>
      <x:c r="B15" s="19" t="str">
        <x:v>F-0008</x:v>
      </x:c>
      <x:c r="C15" s="19" t="str">
        <x:v>A status or floating menu is open.</x:v>
      </x:c>
      <x:c r="D15" s="19" t="str">
        <x:v>Clips is available.</x:v>
      </x:c>
      <x:c r="E15" s="19" t="str">
        <x:v>The user selects it.</x:v>
      </x:c>
      <x:c r="F15" s="19" t="str">
        <x:v>The main window routes to Clips.</x:v>
      </x:c>
      <x:c r="G15" s="19" t="str">
        <x:v>Navigation</x:v>
      </x:c>
      <x:c r="H15" s="19" t="str">
        <x:v>Agent-swift</x:v>
      </x:c>
      <x:c r="I15" s="19" t="str">
        <x:v>Yes</x:v>
      </x:c>
      <x:c r="J15" s="19" t="str">
        <x:v>Low</x:v>
      </x:c>
      <x:c r="K15" s="19" t="str">
        <x:v>Not run - source inventory only</x:v>
      </x:c>
      <x:c r="L15" s="19" t="str"/>
      <x:c r="M15" s="19" t="str"/>
    </x:row>
    <x:row r="16" ht="72" customHeight="1">
      <x:c r="A16" s="19" t="str">
        <x:v>B-0015</x:v>
      </x:c>
      <x:c r="B16" s="19" t="str">
        <x:v>F-0009</x:v>
      </x:c>
      <x:c r="C16" s="19" t="str">
        <x:v>The native audio-import panel is open.</x:v>
      </x:c>
      <x:c r="D16" s="19" t="str">
        <x:v>No file has been confirmed.</x:v>
      </x:c>
      <x:c r="E16" s="19" t="str">
        <x:v>The user cancels.</x:v>
      </x:c>
      <x:c r="F16" s="19" t="str">
        <x:v>No session or file mutation occurs.</x:v>
      </x:c>
      <x:c r="G16" s="19" t="str">
        <x:v>Cancellation</x:v>
      </x:c>
      <x:c r="H16" s="19" t="str">
        <x:v>Dev app + temporary fixture</x:v>
      </x:c>
      <x:c r="I16" s="19" t="str">
        <x:v>Partial</x:v>
      </x:c>
      <x:c r="J16" s="19" t="str">
        <x:v>Medium</x:v>
      </x:c>
      <x:c r="K16" s="19" t="str">
        <x:v>Not run - source inventory only</x:v>
      </x:c>
      <x:c r="L16" s="19" t="str"/>
      <x:c r="M16" s="19" t="str"/>
    </x:row>
    <x:row r="17" ht="72" customHeight="1">
      <x:c r="A17" s="19" t="str">
        <x:v>B-0016</x:v>
      </x:c>
      <x:c r="B17" s="19" t="str">
        <x:v>F-0009</x:v>
      </x:c>
      <x:c r="C17" s="19" t="str">
        <x:v>A valid temporary audio fixture is available.</x:v>
      </x:c>
      <x:c r="D17" s="19" t="str">
        <x:v>The native import panel is open.</x:v>
      </x:c>
      <x:c r="E17" s="19" t="str">
        <x:v>The user confirms the file.</x:v>
      </x:c>
      <x:c r="F17" s="19" t="str">
        <x:v>Audio is normalized, a selected transcribing session is created, and processing starts.</x:v>
      </x:c>
      <x:c r="G17" s="19" t="str">
        <x:v>Functional</x:v>
      </x:c>
      <x:c r="H17" s="19" t="str">
        <x:v>Dev app + copied fixture</x:v>
      </x:c>
      <x:c r="I17" s="19" t="str">
        <x:v>Partial</x:v>
      </x:c>
      <x:c r="J17" s="19" t="str">
        <x:v>High</x:v>
      </x:c>
      <x:c r="K17" s="19" t="str">
        <x:v>Not run - source inventory only</x:v>
      </x:c>
      <x:c r="L17" s="19" t="str"/>
      <x:c r="M17" s="19" t="str"/>
    </x:row>
    <x:row r="18" ht="72" customHeight="1">
      <x:c r="A18" s="19" t="str">
        <x:v>B-0017</x:v>
      </x:c>
      <x:c r="B18" s="19" t="str">
        <x:v>F-0009</x:v>
      </x:c>
      <x:c r="C18" s="19" t="str">
        <x:v>The selected import cannot be normalized.</x:v>
      </x:c>
      <x:c r="D18" s="19" t="str">
        <x:v>Import processing is active.</x:v>
      </x:c>
      <x:c r="E18" s="19" t="str">
        <x:v>The task fails.</x:v>
      </x:c>
      <x:c r="F18" s="19" t="str">
        <x:v>The session becomes failed and the error state is published.</x:v>
      </x:c>
      <x:c r="G18" s="19" t="str">
        <x:v>Error recovery</x:v>
      </x:c>
      <x:c r="H18" s="19" t="str">
        <x:v>Controlled invalid fixture</x:v>
      </x:c>
      <x:c r="I18" s="19" t="str">
        <x:v>Partial</x:v>
      </x:c>
      <x:c r="J18" s="19" t="str">
        <x:v>High</x:v>
      </x:c>
      <x:c r="K18" s="19" t="str">
        <x:v>Not run - source inventory only</x:v>
      </x:c>
      <x:c r="L18" s="19" t="str"/>
      <x:c r="M18" s="19" t="str"/>
    </x:row>
    <x:row r="19" ht="72" customHeight="1">
      <x:c r="A19" s="19" t="str">
        <x:v>B-0018</x:v>
      </x:c>
      <x:c r="B19" s="19" t="str">
        <x:v>F-0010</x:v>
      </x:c>
      <x:c r="C19" s="19" t="str">
        <x:v>The floating bar is visible.</x:v>
      </x:c>
      <x:c r="D19" s="19" t="str">
        <x:v>The status menu is open.</x:v>
      </x:c>
      <x:c r="E19" s="19" t="str">
        <x:v>Hide Floating Bar is selected.</x:v>
      </x:c>
      <x:c r="F19" s="19" t="str">
        <x:v>The bar becomes transiently hidden and the menu changes to Show.</x:v>
      </x:c>
      <x:c r="G19" s="19" t="str">
        <x:v>State</x:v>
      </x:c>
      <x:c r="H19" s="19" t="str">
        <x:v>Agent-swift</x:v>
      </x:c>
      <x:c r="I19" s="19" t="str">
        <x:v>Yes</x:v>
      </x:c>
      <x:c r="J19" s="19" t="str">
        <x:v>Medium</x:v>
      </x:c>
      <x:c r="K19" s="19" t="str">
        <x:v>Not run - source inventory only</x:v>
      </x:c>
      <x:c r="L19" s="19" t="str"/>
      <x:c r="M19" s="19" t="str"/>
    </x:row>
    <x:row r="20" ht="72" customHeight="1">
      <x:c r="A20" s="19" t="str">
        <x:v>B-0019</x:v>
      </x:c>
      <x:c r="B20" s="19" t="str">
        <x:v>F-0010</x:v>
      </x:c>
      <x:c r="C20" s="19" t="str">
        <x:v>The floating bar is hidden.</x:v>
      </x:c>
      <x:c r="D20" s="19" t="str">
        <x:v>The status menu is open.</x:v>
      </x:c>
      <x:c r="E20" s="19" t="str">
        <x:v>Show Floating Bar is selected.</x:v>
      </x:c>
      <x:c r="F20" s="19" t="str">
        <x:v>The preference becomes enabled and the bar reappears.</x:v>
      </x:c>
      <x:c r="G20" s="19" t="str">
        <x:v>State</x:v>
      </x:c>
      <x:c r="H20" s="19" t="str">
        <x:v>Agent-swift</x:v>
      </x:c>
      <x:c r="I20" s="19" t="str">
        <x:v>Yes</x:v>
      </x:c>
      <x:c r="J20" s="19" t="str">
        <x:v>Medium</x:v>
      </x:c>
      <x:c r="K20" s="19" t="str">
        <x:v>Not run - source inventory only</x:v>
      </x:c>
      <x:c r="L20" s="19" t="str"/>
      <x:c r="M20" s="19" t="str"/>
    </x:row>
    <x:row r="21" ht="72" customHeight="1">
      <x:c r="A21" s="19" t="str">
        <x:v>B-0020</x:v>
      </x:c>
      <x:c r="B21" s="19" t="str">
        <x:v>F-0013</x:v>
      </x:c>
      <x:c r="C21" s="19" t="str">
        <x:v>The idle floating bar is visible.</x:v>
      </x:c>
      <x:c r="D21" s="19" t="str">
        <x:v>No recording is active.</x:v>
      </x:c>
      <x:c r="E21" s="19" t="str">
        <x:v>Record is pressed.</x:v>
      </x:c>
      <x:c r="F21" s="19" t="str">
        <x:v>Recording starts and the bar enters collapsed recording mode.</x:v>
      </x:c>
      <x:c r="G21" s="19" t="str">
        <x:v>Functional</x:v>
      </x:c>
      <x:c r="H21" s="19" t="str">
        <x:v>Dev-only recording + agent-swift</x:v>
      </x:c>
      <x:c r="I21" s="19" t="str">
        <x:v>Partial</x:v>
      </x:c>
      <x:c r="J21" s="19" t="str">
        <x:v>High</x:v>
      </x:c>
      <x:c r="K21" s="19" t="str">
        <x:v>Not run - source inventory only</x:v>
      </x:c>
      <x:c r="L21" s="19" t="str"/>
      <x:c r="M21" s="19" t="str"/>
    </x:row>
    <x:row r="22" ht="72" customHeight="1">
      <x:c r="A22" s="19" t="str">
        <x:v>B-0021</x:v>
      </x:c>
      <x:c r="B22" s="19" t="str">
        <x:v>F-0014</x:v>
      </x:c>
      <x:c r="C22" s="19" t="str">
        <x:v>Recording controls are collapsed.</x:v>
      </x:c>
      <x:c r="D22" s="19" t="str">
        <x:v>The pointer enters or leaves the recording summary.</x:v>
      </x:c>
      <x:c r="E22" s="19" t="str">
        <x:v>Hover state changes.</x:v>
      </x:c>
      <x:c r="F22" s="19" t="str">
        <x:v>The lozenge geometry stays fixed and no controls appear without deliberate activation.</x:v>
      </x:c>
      <x:c r="G22" s="19" t="str">
        <x:v>Interaction</x:v>
      </x:c>
      <x:c r="H22" s="19" t="str">
        <x:v>Focused unit test + runtime geometry</x:v>
      </x:c>
      <x:c r="I22" s="19" t="str">
        <x:v>Yes</x:v>
      </x:c>
      <x:c r="J22" s="19" t="str">
        <x:v>Medium</x:v>
      </x:c>
      <x:c r="K22" s="19" t="str">
        <x:v>Not run - source inventory only</x:v>
      </x:c>
      <x:c r="L22" s="19" t="str"/>
      <x:c r="M22" s="19" t="str"/>
    </x:row>
    <x:row r="23" ht="72" customHeight="1">
      <x:c r="A23" s="19" t="str">
        <x:v>B-0022</x:v>
      </x:c>
      <x:c r="B23" s="19" t="str">
        <x:v>F-0014</x:v>
      </x:c>
      <x:c r="C23" s="19" t="str">
        <x:v>Recording controls are collapsed.</x:v>
      </x:c>
      <x:c r="D23" s="19" t="str">
        <x:v>The recording summary is focused or clicked.</x:v>
      </x:c>
      <x:c r="E23" s="19" t="str">
        <x:v>The user deliberately activates it.</x:v>
      </x:c>
      <x:c r="F23" s="19" t="str">
        <x:v>A compact 220×30 control tray opens.</x:v>
      </x:c>
      <x:c r="G23" s="19" t="str">
        <x:v>Interaction</x:v>
      </x:c>
      <x:c r="H23" s="19" t="str">
        <x:v>Agent-swift + focused unit test</x:v>
      </x:c>
      <x:c r="I23" s="19" t="str">
        <x:v>Yes</x:v>
      </x:c>
      <x:c r="J23" s="19" t="str">
        <x:v>Medium</x:v>
      </x:c>
      <x:c r="K23" s="19" t="str">
        <x:v>Not run - source inventory only</x:v>
      </x:c>
      <x:c r="L23" s="19" t="str"/>
      <x:c r="M23" s="19" t="str"/>
    </x:row>
    <x:row r="24" ht="72" customHeight="1">
      <x:c r="A24" s="19" t="str">
        <x:v>B-0023</x:v>
      </x:c>
      <x:c r="B24" s="19" t="str">
        <x:v>F-0014</x:v>
      </x:c>
      <x:c r="C24" s="19" t="str">
        <x:v>Recording controls are expanded.</x:v>
      </x:c>
      <x:c r="D24" s="19" t="str">
        <x:v>Minimize is visible or Escape is available.</x:v>
      </x:c>
      <x:c r="E24" s="19" t="str">
        <x:v>The user minimizes.</x:v>
      </x:c>
      <x:c r="F24" s="19" t="str">
        <x:v>Controls collapse.</x:v>
      </x:c>
      <x:c r="G24" s="19" t="str">
        <x:v>Interaction</x:v>
      </x:c>
      <x:c r="H24" s="19" t="str">
        <x:v>Agent-swift</x:v>
      </x:c>
      <x:c r="I24" s="19" t="str">
        <x:v>Yes</x:v>
      </x:c>
      <x:c r="J24" s="19" t="str">
        <x:v>Medium</x:v>
      </x:c>
      <x:c r="K24" s="19" t="str">
        <x:v>Not run - source inventory only</x:v>
      </x:c>
      <x:c r="L24" s="19" t="str"/>
      <x:c r="M24" s="19" t="str"/>
    </x:row>
    <x:row r="25" ht="72" customHeight="1">
      <x:c r="A25" s="19" t="str">
        <x:v>B-0024</x:v>
      </x:c>
      <x:c r="B25" s="19" t="str">
        <x:v>F-0015</x:v>
      </x:c>
      <x:c r="C25" s="19" t="str">
        <x:v>Recording is active and the bar is visible.</x:v>
      </x:c>
      <x:c r="D25" s="19" t="str">
        <x:v>Hide for This Recording is available.</x:v>
      </x:c>
      <x:c r="E25" s="19" t="str">
        <x:v>The user selects it.</x:v>
      </x:c>
      <x:c r="F25" s="19" t="str">
        <x:v>The bar hides until the recording state resets or Show is used.</x:v>
      </x:c>
      <x:c r="G25" s="19" t="str">
        <x:v>State</x:v>
      </x:c>
      <x:c r="H25" s="19" t="str">
        <x:v>Dev-only recording + agent-swift</x:v>
      </x:c>
      <x:c r="I25" s="19" t="str">
        <x:v>Yes</x:v>
      </x:c>
      <x:c r="J25" s="19" t="str">
        <x:v>Medium</x:v>
      </x:c>
      <x:c r="K25" s="19" t="str">
        <x:v>Not run - source inventory only</x:v>
      </x:c>
      <x:c r="L25" s="19" t="str"/>
      <x:c r="M25" s="19" t="str"/>
    </x:row>
    <x:row r="26" ht="72" customHeight="1">
      <x:c r="A26" s="19" t="str">
        <x:v>B-0025</x:v>
      </x:c>
      <x:c r="B26" s="19" t="str">
        <x:v>F-0016</x:v>
      </x:c>
      <x:c r="C26" s="19" t="str">
        <x:v>Recording is active and the mic is unmuted.</x:v>
      </x:c>
      <x:c r="D26" s="19" t="str">
        <x:v>Mute microphone is visible.</x:v>
      </x:c>
      <x:c r="E26" s="19" t="str">
        <x:v>The user presses it.</x:v>
      </x:c>
      <x:c r="F26" s="19" t="str">
        <x:v>The transcript mix becomes system-only and the microphone level becomes zero.</x:v>
      </x:c>
      <x:c r="G26" s="19" t="str">
        <x:v>Audio state</x:v>
      </x:c>
      <x:c r="H26" s="19" t="str">
        <x:v>Dev-only audio fixture + state inspection</x:v>
      </x:c>
      <x:c r="I26" s="19" t="str">
        <x:v>Partial</x:v>
      </x:c>
      <x:c r="J26" s="19" t="str">
        <x:v>High</x:v>
      </x:c>
      <x:c r="K26" s="19" t="str">
        <x:v>Not run - source inventory only</x:v>
      </x:c>
      <x:c r="L26" s="19" t="str"/>
      <x:c r="M26" s="19" t="str"/>
    </x:row>
    <x:row r="27" ht="72" customHeight="1">
      <x:c r="A27" s="19" t="str">
        <x:v>B-0026</x:v>
      </x:c>
      <x:c r="B27" s="19" t="str">
        <x:v>F-0016</x:v>
      </x:c>
      <x:c r="C27" s="19" t="str">
        <x:v>Recording is active and the mic is muted.</x:v>
      </x:c>
      <x:c r="D27" s="19" t="str">
        <x:v>Unmute microphone is visible.</x:v>
      </x:c>
      <x:c r="E27" s="19" t="str">
        <x:v>The user presses it.</x:v>
      </x:c>
      <x:c r="F27" s="19" t="str">
        <x:v>The prior mix mode is restored.</x:v>
      </x:c>
      <x:c r="G27" s="19" t="str">
        <x:v>Audio state</x:v>
      </x:c>
      <x:c r="H27" s="19" t="str">
        <x:v>Dev-only audio fixture + state inspection</x:v>
      </x:c>
      <x:c r="I27" s="19" t="str">
        <x:v>Partial</x:v>
      </x:c>
      <x:c r="J27" s="19" t="str">
        <x:v>High</x:v>
      </x:c>
      <x:c r="K27" s="19" t="str">
        <x:v>Not run - source inventory only</x:v>
      </x:c>
      <x:c r="L27" s="19" t="str"/>
      <x:c r="M27" s="19" t="str"/>
    </x:row>
    <x:row r="28" ht="72" customHeight="1">
      <x:c r="A28" s="19" t="str">
        <x:v>B-0027</x:v>
      </x:c>
      <x:c r="B28" s="19" t="str">
        <x:v>F-0017</x:v>
      </x:c>
      <x:c r="C28" s="19" t="str">
        <x:v>Recording capture sources change.</x:v>
      </x:c>
      <x:c r="D28" s="19" t="str">
        <x:v>The floating bar is visible.</x:v>
      </x:c>
      <x:c r="E28" s="19" t="str">
        <x:v>State refreshes.</x:v>
      </x:c>
      <x:c r="F28" s="19" t="str">
        <x:v>The health indicator resolves to healthy, partial, muted, or unavailable.</x:v>
      </x:c>
      <x:c r="G28" s="19" t="str">
        <x:v>State</x:v>
      </x:c>
      <x:c r="H28" s="19" t="str">
        <x:v>Injected capture-state test + UI inspection</x:v>
      </x:c>
      <x:c r="I28" s="19" t="str">
        <x:v>Yes</x:v>
      </x:c>
      <x:c r="J28" s="19" t="str">
        <x:v>High</x:v>
      </x:c>
      <x:c r="K28" s="19" t="str">
        <x:v>Not run - source inventory only</x:v>
      </x:c>
      <x:c r="L28" s="19" t="str"/>
      <x:c r="M28" s="19" t="str"/>
    </x:row>
    <x:row r="29" ht="72" customHeight="1">
      <x:c r="A29" s="19" t="str">
        <x:v>B-0028</x:v>
      </x:c>
      <x:c r="B29" s="19" t="str">
        <x:v>F-0017</x:v>
      </x:c>
      <x:c r="C29" s="19" t="str">
        <x:v>Recording is active.</x:v>
      </x:c>
      <x:c r="D29" s="19" t="str">
        <x:v>The elapsed timer advances.</x:v>
      </x:c>
      <x:c r="E29" s="19" t="str">
        <x:v>Publishers update.</x:v>
      </x:c>
      <x:c r="F29" s="19" t="str">
        <x:v>The 66×22 recording lozenge visibly reports elapsed time without a waveform dashboard.</x:v>
      </x:c>
      <x:c r="G29" s="19" t="str">
        <x:v>Live feedback</x:v>
      </x:c>
      <x:c r="H29" s="19" t="str">
        <x:v>Presentation harness + screenshot evidence</x:v>
      </x:c>
      <x:c r="I29" s="19" t="str">
        <x:v>Yes</x:v>
      </x:c>
      <x:c r="J29" s="19" t="str">
        <x:v>High</x:v>
      </x:c>
      <x:c r="K29" s="19" t="str">
        <x:v>Not run - source inventory only</x:v>
      </x:c>
      <x:c r="L29" s="19" t="str"/>
      <x:c r="M29" s="19" t="str"/>
    </x:row>
    <x:row r="30" ht="72" customHeight="1">
      <x:c r="A30" s="19" t="str">
        <x:v>B-0029</x:v>
      </x:c>
      <x:c r="B30" s="19" t="str">
        <x:v>F-0018</x:v>
      </x:c>
      <x:c r="C30" s="19" t="str">
        <x:v>One display exists and recording is active.</x:v>
      </x:c>
      <x:c r="D30" s="19" t="str">
        <x:v>Capture Screen is visible.</x:v>
      </x:c>
      <x:c r="E30" s="19" t="str">
        <x:v>The user presses it.</x:v>
      </x:c>
      <x:c r="F30" s="19" t="str">
        <x:v>A full screenshot is captured and attached at the current session offset.</x:v>
      </x:c>
      <x:c r="G30" s="19" t="str">
        <x:v>Functional</x:v>
      </x:c>
      <x:c r="H30" s="19" t="str">
        <x:v>Dev recording + temporary storage</x:v>
      </x:c>
      <x:c r="I30" s="19" t="str">
        <x:v>Partial</x:v>
      </x:c>
      <x:c r="J30" s="19" t="str">
        <x:v>High</x:v>
      </x:c>
      <x:c r="K30" s="19" t="str">
        <x:v>Not run - source inventory only</x:v>
      </x:c>
      <x:c r="L30" s="19" t="str"/>
      <x:c r="M30" s="19" t="str"/>
    </x:row>
    <x:row r="31" ht="72" customHeight="1">
      <x:c r="A31" s="19" t="str">
        <x:v>B-0030</x:v>
      </x:c>
      <x:c r="B31" s="19" t="str">
        <x:v>F-0018</x:v>
      </x:c>
      <x:c r="C31" s="19" t="str">
        <x:v>Multiple displays exist and recording is active.</x:v>
      </x:c>
      <x:c r="D31" s="19" t="str">
        <x:v>Capture Screen is visible.</x:v>
      </x:c>
      <x:c r="E31" s="19" t="str">
        <x:v>The user presses it.</x:v>
      </x:c>
      <x:c r="F31" s="19" t="str">
        <x:v>A display-selection menu appears before capture.</x:v>
      </x:c>
      <x:c r="G31" s="19" t="str">
        <x:v>Conditional UI</x:v>
      </x:c>
      <x:c r="H31" s="19" t="str">
        <x:v>Manual multi-display environment</x:v>
      </x:c>
      <x:c r="I31" s="19" t="str">
        <x:v>No</x:v>
      </x:c>
      <x:c r="J31" s="19" t="str">
        <x:v>High</x:v>
      </x:c>
      <x:c r="K31" s="19" t="str">
        <x:v>Not run - source inventory only</x:v>
      </x:c>
      <x:c r="L31" s="19" t="str"/>
      <x:c r="M31" s="19" t="str"/>
    </x:row>
    <x:row r="32" ht="72" customHeight="1">
      <x:c r="A32" s="19" t="str">
        <x:v>B-0031</x:v>
      </x:c>
      <x:c r="B32" s="19" t="str">
        <x:v>F-0019</x:v>
      </x:c>
      <x:c r="C32" s="19" t="str">
        <x:v>Recording is active.</x:v>
      </x:c>
      <x:c r="D32" s="19" t="str">
        <x:v>Capture Region is visible.</x:v>
      </x:c>
      <x:c r="E32" s="19" t="str">
        <x:v>The user presses it.</x:v>
      </x:c>
      <x:c r="F32" s="19" t="str">
        <x:v>Interactive system region capture begins.</x:v>
      </x:c>
      <x:c r="G32" s="19" t="str">
        <x:v>OS integration</x:v>
      </x:c>
      <x:c r="H32" s="19" t="str">
        <x:v>Manual OS-mediated flow</x:v>
      </x:c>
      <x:c r="I32" s="19" t="str">
        <x:v>No</x:v>
      </x:c>
      <x:c r="J32" s="19" t="str">
        <x:v>High</x:v>
      </x:c>
      <x:c r="K32" s="19" t="str">
        <x:v>Not run - source inventory only</x:v>
      </x:c>
      <x:c r="L32" s="19" t="str"/>
      <x:c r="M32" s="19" t="str"/>
    </x:row>
    <x:row r="33" ht="72" customHeight="1">
      <x:c r="A33" s="19" t="str">
        <x:v>B-0032</x:v>
      </x:c>
      <x:c r="B33" s="19" t="str">
        <x:v>F-0020</x:v>
      </x:c>
      <x:c r="C33" s="19" t="str">
        <x:v>Recording is active and attachable temporary files exist.</x:v>
      </x:c>
      <x:c r="D33" s="19" t="str">
        <x:v>The file panel is open.</x:v>
      </x:c>
      <x:c r="E33" s="19" t="str">
        <x:v>The user selects one or more files.</x:v>
      </x:c>
      <x:c r="F33" s="19" t="str">
        <x:v>Each successful file is copied or attached and the success notice reports count and time.</x:v>
      </x:c>
      <x:c r="G33" s="19" t="str">
        <x:v>Functional</x:v>
      </x:c>
      <x:c r="H33" s="19" t="str">
        <x:v>Dev recording + temporary fixtures</x:v>
      </x:c>
      <x:c r="I33" s="19" t="str">
        <x:v>Partial</x:v>
      </x:c>
      <x:c r="J33" s="19" t="str">
        <x:v>High</x:v>
      </x:c>
      <x:c r="K33" s="19" t="str">
        <x:v>Not run - source inventory only</x:v>
      </x:c>
      <x:c r="L33" s="19" t="str"/>
      <x:c r="M33" s="19" t="str"/>
    </x:row>
    <x:row r="34" ht="72" customHeight="1">
      <x:c r="A34" s="19" t="str">
        <x:v>B-0033</x:v>
      </x:c>
      <x:c r="B34" s="19" t="str">
        <x:v>F-0020</x:v>
      </x:c>
      <x:c r="C34" s="19" t="str">
        <x:v>All selected file attachments will fail.</x:v>
      </x:c>
      <x:c r="D34" s="19" t="str">
        <x:v>The file panel is open.</x:v>
      </x:c>
      <x:c r="E34" s="19" t="str">
        <x:v>Import completes.</x:v>
      </x:c>
      <x:c r="F34" s="19" t="str">
        <x:v>An error state and File attachment failed notice appear.</x:v>
      </x:c>
      <x:c r="G34" s="19" t="str">
        <x:v>Error state</x:v>
      </x:c>
      <x:c r="H34" s="19" t="str">
        <x:v>Controlled unreadable fixture</x:v>
      </x:c>
      <x:c r="I34" s="19" t="str">
        <x:v>Partial</x:v>
      </x:c>
      <x:c r="J34" s="19" t="str">
        <x:v>High</x:v>
      </x:c>
      <x:c r="K34" s="19" t="str">
        <x:v>Not run - source inventory only</x:v>
      </x:c>
      <x:c r="L34" s="19" t="str"/>
      <x:c r="M34" s="19" t="str"/>
    </x:row>
    <x:row r="35" ht="72" customHeight="1">
      <x:c r="A35" s="19" t="str">
        <x:v>B-0034</x:v>
      </x:c>
      <x:c r="B35" s="19" t="str">
        <x:v>F-0021</x:v>
      </x:c>
      <x:c r="C35" s="19" t="str">
        <x:v>The floating bar is visible.</x:v>
      </x:c>
      <x:c r="D35" s="19" t="str">
        <x:v>The user drags it.</x:v>
      </x:c>
      <x:c r="E35" s="19" t="str">
        <x:v>Window movement completes.</x:v>
      </x:c>
      <x:c r="F35" s="19" t="str">
        <x:v>The origin is persisted and restored on future panel creation.</x:v>
      </x:c>
      <x:c r="G35" s="19" t="str">
        <x:v>Persistence</x:v>
      </x:c>
      <x:c r="H35" s="19" t="str">
        <x:v>Agent-swift + relaunch dev app</x:v>
      </x:c>
      <x:c r="I35" s="19" t="str">
        <x:v>Partial</x:v>
      </x:c>
      <x:c r="J35" s="19" t="str">
        <x:v>Low</x:v>
      </x:c>
      <x:c r="K35" s="19" t="str">
        <x:v>Not run - source inventory only</x:v>
      </x:c>
      <x:c r="L35" s="19" t="str"/>
      <x:c r="M35" s="19" t="str"/>
    </x:row>
    <x:row r="36" ht="72" customHeight="1">
      <x:c r="A36" s="19" t="str">
        <x:v>B-0035</x:v>
      </x:c>
      <x:c r="B36" s="19" t="str">
        <x:v>F-0022</x:v>
      </x:c>
      <x:c r="C36" s="19" t="str">
        <x:v>Import or transcription is active.</x:v>
      </x:c>
      <x:c r="D36" s="19" t="str">
        <x:v>A processing snapshot changes.</x:v>
      </x:c>
      <x:c r="E36" s="19" t="str">
        <x:v>The bar refreshes.</x:v>
      </x:c>
      <x:c r="F36" s="19" t="str">
        <x:v>The bar shows a spinner and percentage or stage title.</x:v>
      </x:c>
      <x:c r="G36" s="19" t="str">
        <x:v>State</x:v>
      </x:c>
      <x:c r="H36" s="19" t="str">
        <x:v>Fixture import + screenshot evidence</x:v>
      </x:c>
      <x:c r="I36" s="19" t="str">
        <x:v>Partial</x:v>
      </x:c>
      <x:c r="J36" s="19" t="str">
        <x:v>Medium</x:v>
      </x:c>
      <x:c r="K36" s="19" t="str">
        <x:v>Not run - source inventory only</x:v>
      </x:c>
      <x:c r="L36" s="19" t="str"/>
      <x:c r="M36" s="19" t="str"/>
    </x:row>
    <x:row r="37" ht="72" customHeight="1">
      <x:c r="A37" s="19" t="str">
        <x:v>B-0036</x:v>
      </x:c>
      <x:c r="B37" s="19" t="str">
        <x:v>F-0023</x:v>
      </x:c>
      <x:c r="C37" s="19" t="str">
        <x:v>No session is selected.</x:v>
      </x:c>
      <x:c r="D37" s="19" t="str">
        <x:v>The reading window is open.</x:v>
      </x:c>
      <x:c r="E37" s="19" t="str">
        <x:v>The view renders.</x:v>
      </x:c>
      <x:c r="F37" s="19" t="str">
        <x:v>No session open appears.</x:v>
      </x:c>
      <x:c r="G37" s="19" t="str">
        <x:v>Empty state</x:v>
      </x:c>
      <x:c r="H37" s="19" t="str">
        <x:v>Seeded empty state + agent-swift</x:v>
      </x:c>
      <x:c r="I37" s="19" t="str">
        <x:v>Yes</x:v>
      </x:c>
      <x:c r="J37" s="19" t="str">
        <x:v>Medium</x:v>
      </x:c>
      <x:c r="K37" s="19" t="str">
        <x:v>Not run - source inventory only</x:v>
      </x:c>
      <x:c r="L37" s="19" t="str"/>
      <x:c r="M37" s="19" t="str"/>
    </x:row>
    <x:row r="38" ht="72" customHeight="1">
      <x:c r="A38" s="19" t="str">
        <x:v>B-0037</x:v>
      </x:c>
      <x:c r="B38" s="19" t="str">
        <x:v>F-0023</x:v>
      </x:c>
      <x:c r="C38" s="19" t="str">
        <x:v>The selected session has no transcript text.</x:v>
      </x:c>
      <x:c r="D38" s="19" t="str">
        <x:v>The reading window is open.</x:v>
      </x:c>
      <x:c r="E38" s="19" t="str">
        <x:v>The view renders.</x:v>
      </x:c>
      <x:c r="F38" s="19" t="str">
        <x:v>Transcript not ready directs the user to Transcribe.</x:v>
      </x:c>
      <x:c r="G38" s="19" t="str">
        <x:v>Empty state</x:v>
      </x:c>
      <x:c r="H38" s="19" t="str">
        <x:v>Seeded session fixture + agent-swift</x:v>
      </x:c>
      <x:c r="I38" s="19" t="str">
        <x:v>Yes</x:v>
      </x:c>
      <x:c r="J38" s="19" t="str">
        <x:v>Medium</x:v>
      </x:c>
      <x:c r="K38" s="19" t="str">
        <x:v>Not run - source inventory only</x:v>
      </x:c>
      <x:c r="L38" s="19" t="str"/>
      <x:c r="M38" s="19" t="str"/>
    </x:row>
    <x:row r="39" ht="72" customHeight="1">
      <x:c r="A39" s="19" t="str">
        <x:v>B-0038</x:v>
      </x:c>
      <x:c r="B39" s="19" t="str">
        <x:v>F-0024</x:v>
      </x:c>
      <x:c r="C39" s="19" t="str">
        <x:v>The selected session has transcript segments.</x:v>
      </x:c>
      <x:c r="D39" s="19" t="str">
        <x:v>The reader renders.</x:v>
      </x:c>
      <x:c r="E39" s="19" t="str">
        <x:v>Timeline blocks are built.</x:v>
      </x:c>
      <x:c r="F39" s="19" t="str">
        <x:v>Each block shows speaker, relative time, and selectable text.</x:v>
      </x:c>
      <x:c r="G39" s="19" t="str">
        <x:v>Content</x:v>
      </x:c>
      <x:c r="H39" s="19" t="str">
        <x:v>Bilingual seeded fixture + screenshot/text inspection</x:v>
      </x:c>
      <x:c r="I39" s="19" t="str">
        <x:v>Yes</x:v>
      </x:c>
      <x:c r="J39" s="19" t="str">
        <x:v>High</x:v>
      </x:c>
      <x:c r="K39" s="19" t="str">
        <x:v>Not run - source inventory only</x:v>
      </x:c>
      <x:c r="L39" s="19" t="str"/>
      <x:c r="M39" s="19" t="str"/>
    </x:row>
    <x:row r="40" ht="72" customHeight="1">
      <x:c r="A40" s="19" t="str">
        <x:v>B-0039</x:v>
      </x:c>
      <x:c r="B40" s="19" t="str">
        <x:v>F-0025</x:v>
      </x:c>
      <x:c r="C40" s="19" t="str">
        <x:v>The timeline contains an image attachment.</x:v>
      </x:c>
      <x:c r="D40" s="19" t="str">
        <x:v>The inline image is visible.</x:v>
      </x:c>
      <x:c r="E40" s="19" t="str">
        <x:v>The user clicks it.</x:v>
      </x:c>
      <x:c r="F40" s="19" t="str">
        <x:v>An enlarged image overlay appears.</x:v>
      </x:c>
      <x:c r="G40" s="19" t="str">
        <x:v>Interaction</x:v>
      </x:c>
      <x:c r="H40" s="19" t="str">
        <x:v>Seeded attachment + agent-swift</x:v>
      </x:c>
      <x:c r="I40" s="19" t="str">
        <x:v>Yes</x:v>
      </x:c>
      <x:c r="J40" s="19" t="str">
        <x:v>Medium</x:v>
      </x:c>
      <x:c r="K40" s="19" t="str">
        <x:v>Not run - source inventory only</x:v>
      </x:c>
      <x:c r="L40" s="19" t="str"/>
      <x:c r="M40" s="19" t="str"/>
    </x:row>
    <x:row r="41" ht="72" customHeight="1">
      <x:c r="A41" s="19" t="str">
        <x:v>B-0040</x:v>
      </x:c>
      <x:c r="B41" s="19" t="str">
        <x:v>F-0025</x:v>
      </x:c>
      <x:c r="C41" s="19" t="str">
        <x:v>The enlarged image overlay is open.</x:v>
      </x:c>
      <x:c r="D41" s="19" t="str">
        <x:v>A dismiss affordance is available.</x:v>
      </x:c>
      <x:c r="E41" s="19" t="str">
        <x:v>The user presses X or Escape or clicks the backdrop.</x:v>
      </x:c>
      <x:c r="F41" s="19" t="str">
        <x:v>The overlay closes.</x:v>
      </x:c>
      <x:c r="G41" s="19" t="str">
        <x:v>Interaction</x:v>
      </x:c>
      <x:c r="H41" s="19" t="str">
        <x:v>Agent-swift</x:v>
      </x:c>
      <x:c r="I41" s="19" t="str">
        <x:v>Yes</x:v>
      </x:c>
      <x:c r="J41" s="19" t="str">
        <x:v>Medium</x:v>
      </x:c>
      <x:c r="K41" s="19" t="str">
        <x:v>Not run - source inventory only</x:v>
      </x:c>
      <x:c r="L41" s="19" t="str"/>
      <x:c r="M41" s="19" t="str"/>
    </x:row>
    <x:row r="42" ht="72" customHeight="1">
      <x:c r="A42" s="19" t="str">
        <x:v>B-0041</x:v>
      </x:c>
      <x:c r="B42" s="19" t="str">
        <x:v>F-0026</x:v>
      </x:c>
      <x:c r="C42" s="19" t="str">
        <x:v>The reading window is open.</x:v>
      </x:c>
      <x:c r="D42" s="19" t="str">
        <x:v>Zoom input is available.</x:v>
      </x:c>
      <x:c r="E42" s="19" t="str">
        <x:v>The user pinches or uses a zoom shortcut.</x:v>
      </x:c>
      <x:c r="F42" s="19" t="str">
        <x:v>Scale clamps to 0.7 through 2.2 and persists.</x:v>
      </x:c>
      <x:c r="G42" s="19" t="str">
        <x:v>Accessibility</x:v>
      </x:c>
      <x:c r="H42" s="19" t="str">
        <x:v>Agent-swift keyboard + preference inspection</x:v>
      </x:c>
      <x:c r="I42" s="19" t="str">
        <x:v>Partial</x:v>
      </x:c>
      <x:c r="J42" s="19" t="str">
        <x:v>Low</x:v>
      </x:c>
      <x:c r="K42" s="19" t="str">
        <x:v>Not run - source inventory only</x:v>
      </x:c>
      <x:c r="L42" s="19" t="str"/>
      <x:c r="M42" s="19" t="str"/>
    </x:row>
    <x:row r="43" ht="72" customHeight="1">
      <x:c r="A43" s="19" t="str">
        <x:v>B-0042</x:v>
      </x:c>
      <x:c r="B43" s="19" t="str">
        <x:v>F-0027</x:v>
      </x:c>
      <x:c r="C43" s="19" t="str">
        <x:v>No stored sessions exist.</x:v>
      </x:c>
      <x:c r="D43" s="19" t="str">
        <x:v>The session toolbar menu is opened.</x:v>
      </x:c>
      <x:c r="E43" s="19" t="str">
        <x:v>The menu builds.</x:v>
      </x:c>
      <x:c r="F43" s="19" t="str">
        <x:v>A disabled No sessions yet row appears.</x:v>
      </x:c>
      <x:c r="G43" s="19" t="str">
        <x:v>Empty state</x:v>
      </x:c>
      <x:c r="H43" s="19" t="str">
        <x:v>Seeded empty state + agent-swift</x:v>
      </x:c>
      <x:c r="I43" s="19" t="str">
        <x:v>Yes</x:v>
      </x:c>
      <x:c r="J43" s="19" t="str">
        <x:v>Medium</x:v>
      </x:c>
      <x:c r="K43" s="19" t="str">
        <x:v>Not run - source inventory only</x:v>
      </x:c>
      <x:c r="L43" s="19" t="str"/>
      <x:c r="M43" s="19" t="str"/>
    </x:row>
    <x:row r="44" ht="72" customHeight="1">
      <x:c r="A44" s="19" t="str">
        <x:v>B-0043</x:v>
      </x:c>
      <x:c r="B44" s="19" t="str">
        <x:v>F-0027</x:v>
      </x:c>
      <x:c r="C44" s="19" t="str">
        <x:v>Stored sessions exist.</x:v>
      </x:c>
      <x:c r="D44" s="19" t="str">
        <x:v>The session toolbar menu is open.</x:v>
      </x:c>
      <x:c r="E44" s="19" t="str">
        <x:v>The user selects another session.</x:v>
      </x:c>
      <x:c r="F44" s="19" t="str">
        <x:v>Selection and transcript content switch.</x:v>
      </x:c>
      <x:c r="G44" s="19" t="str">
        <x:v>Navigation</x:v>
      </x:c>
      <x:c r="H44" s="19" t="str">
        <x:v>Seeded fixture + agent-swift</x:v>
      </x:c>
      <x:c r="I44" s="19" t="str">
        <x:v>Yes</x:v>
      </x:c>
      <x:c r="J44" s="19" t="str">
        <x:v>Medium</x:v>
      </x:c>
      <x:c r="K44" s="19" t="str">
        <x:v>Not run - source inventory only</x:v>
      </x:c>
      <x:c r="L44" s="19" t="str"/>
      <x:c r="M44" s="19" t="str"/>
    </x:row>
    <x:row r="45" ht="72" customHeight="1">
      <x:c r="A45" s="19" t="str">
        <x:v>B-0044</x:v>
      </x:c>
      <x:c r="B45" s="19" t="str">
        <x:v>F-0028</x:v>
      </x:c>
      <x:c r="C45" s="19" t="str">
        <x:v>The reader toolbar is visible.</x:v>
      </x:c>
      <x:c r="D45" s="19" t="str">
        <x:v>Toolbar controls are enumerated.</x:v>
      </x:c>
      <x:c r="E45" s="19" t="str">
        <x:v>The user inspects the available actions.</x:v>
      </x:c>
      <x:c r="F45" s="19" t="str">
        <x:v>No non-functional document-language selector is presented.</x:v>
      </x:c>
      <x:c r="G45" s="19" t="str">
        <x:v>Functional</x:v>
      </x:c>
      <x:c r="H45" s="19" t="str">
        <x:v>Source trace + runtime toolbar inspection</x:v>
      </x:c>
      <x:c r="I45" s="19" t="str">
        <x:v>Yes</x:v>
      </x:c>
      <x:c r="J45" s="19" t="str">
        <x:v>Medium</x:v>
      </x:c>
      <x:c r="K45" s="19" t="str">
        <x:v>Not run - source inventory only</x:v>
      </x:c>
      <x:c r="L45" s="19" t="str"/>
      <x:c r="M45" s="19" t="str"/>
    </x:row>
    <x:row r="46" ht="72" customHeight="1">
      <x:c r="A46" s="19" t="str">
        <x:v>B-0045</x:v>
      </x:c>
      <x:c r="B46" s="19" t="str">
        <x:v>F-0029</x:v>
      </x:c>
      <x:c r="C46" s="19" t="str">
        <x:v>The selected session has retained audio and is idle.</x:v>
      </x:c>
      <x:c r="D46" s="19" t="str">
        <x:v>Transcribe is enabled.</x:v>
      </x:c>
      <x:c r="E46" s="19" t="str">
        <x:v>The user presses it.</x:v>
      </x:c>
      <x:c r="F46" s="19" t="str">
        <x:v>A fresh local transcription starts.</x:v>
      </x:c>
      <x:c r="G46" s="19" t="str">
        <x:v>Functional</x:v>
      </x:c>
      <x:c r="H46" s="19" t="str">
        <x:v>Copied fixture + dev app</x:v>
      </x:c>
      <x:c r="I46" s="19" t="str">
        <x:v>Partial</x:v>
      </x:c>
      <x:c r="J46" s="19" t="str">
        <x:v>High</x:v>
      </x:c>
      <x:c r="K46" s="19" t="str">
        <x:v>Not run - source inventory only</x:v>
      </x:c>
      <x:c r="L46" s="19" t="str"/>
      <x:c r="M46" s="19" t="str"/>
    </x:row>
    <x:row r="47" ht="72" customHeight="1">
      <x:c r="A47" s="19" t="str">
        <x:v>B-0046</x:v>
      </x:c>
      <x:c r="B47" s="19" t="str">
        <x:v>F-0029</x:v>
      </x:c>
      <x:c r="C47" s="19" t="str">
        <x:v>The selected session lacks audio or is already processing.</x:v>
      </x:c>
      <x:c r="D47" s="19" t="str">
        <x:v>The toolbar validates.</x:v>
      </x:c>
      <x:c r="E47" s="19" t="str">
        <x:v>Availability is recalculated.</x:v>
      </x:c>
      <x:c r="F47" s="19" t="str">
        <x:v>Transcribe is disabled.</x:v>
      </x:c>
      <x:c r="G47" s="19" t="str">
        <x:v>Guard state</x:v>
      </x:c>
      <x:c r="H47" s="19" t="str">
        <x:v>Seeded fixtures + toolbar inspection</x:v>
      </x:c>
      <x:c r="I47" s="19" t="str">
        <x:v>Yes</x:v>
      </x:c>
      <x:c r="J47" s="19" t="str">
        <x:v>High</x:v>
      </x:c>
      <x:c r="K47" s="19" t="str">
        <x:v>Not run - source inventory only</x:v>
      </x:c>
      <x:c r="L47" s="19" t="str"/>
      <x:c r="M47" s="19" t="str"/>
    </x:row>
    <x:row r="48" ht="72" customHeight="1">
      <x:c r="A48" s="19" t="str">
        <x:v>B-0047</x:v>
      </x:c>
      <x:c r="B48" s="19" t="str">
        <x:v>F-0030</x:v>
      </x:c>
      <x:c r="C48" s="19" t="str">
        <x:v>The selected session has a non-empty transcript.</x:v>
      </x:c>
      <x:c r="D48" s="19" t="str">
        <x:v>Export is enabled and the save panel is open.</x:v>
      </x:c>
      <x:c r="E48" s="19" t="str">
        <x:v>The user confirms a temporary destination.</x:v>
      </x:c>
      <x:c r="F48" s="19" t="str">
        <x:v>A Markdown transcript is written.</x:v>
      </x:c>
      <x:c r="G48" s="19" t="str">
        <x:v>Export</x:v>
      </x:c>
      <x:c r="H48" s="19" t="str">
        <x:v>Dev app + temporary destination</x:v>
      </x:c>
      <x:c r="I48" s="19" t="str">
        <x:v>Partial</x:v>
      </x:c>
      <x:c r="J48" s="19" t="str">
        <x:v>Medium</x:v>
      </x:c>
      <x:c r="K48" s="19" t="str">
        <x:v>Not run - source inventory only</x:v>
      </x:c>
      <x:c r="L48" s="19" t="str"/>
      <x:c r="M48" s="19" t="str"/>
    </x:row>
    <x:row r="49" ht="72" customHeight="1">
      <x:c r="A49" s="19" t="str">
        <x:v>B-0048</x:v>
      </x:c>
      <x:c r="B49" s="19" t="str">
        <x:v>F-0030</x:v>
      </x:c>
      <x:c r="C49" s="19" t="str">
        <x:v>The export destination cannot be written.</x:v>
      </x:c>
      <x:c r="D49" s="19" t="str">
        <x:v>Export is attempted.</x:v>
      </x:c>
      <x:c r="E49" s="19" t="str">
        <x:v>The write fails.</x:v>
      </x:c>
      <x:c r="F49" s="19" t="str">
        <x:v>Only a system beep reports failure.</x:v>
      </x:c>
      <x:c r="G49" s="19" t="str">
        <x:v>Error state</x:v>
      </x:c>
      <x:c r="H49" s="19" t="str">
        <x:v>Controlled unwritable destination</x:v>
      </x:c>
      <x:c r="I49" s="19" t="str">
        <x:v>Partial</x:v>
      </x:c>
      <x:c r="J49" s="19" t="str">
        <x:v>Medium</x:v>
      </x:c>
      <x:c r="K49" s="19" t="str">
        <x:v>Not run - source inventory only</x:v>
      </x:c>
      <x:c r="L49" s="19" t="str"/>
      <x:c r="M49" s="19" t="str"/>
    </x:row>
    <x:row r="50" ht="72" customHeight="1">
      <x:c r="A50" s="19" t="str">
        <x:v>B-0049</x:v>
      </x:c>
      <x:c r="B50" s="19" t="str">
        <x:v>F-0031</x:v>
      </x:c>
      <x:c r="C50" s="19" t="str">
        <x:v>No Clips exist in isolated storage.</x:v>
      </x:c>
      <x:c r="D50" s="19" t="str">
        <x:v>The Clips window opens.</x:v>
      </x:c>
      <x:c r="E50" s="19" t="str">
        <x:v>The view renders.</x:v>
      </x:c>
      <x:c r="F50" s="19" t="str">
        <x:v>Empty-list and empty-inspector states appear.</x:v>
      </x:c>
      <x:c r="G50" s="19" t="str">
        <x:v>Empty state</x:v>
      </x:c>
      <x:c r="H50" s="19" t="str">
        <x:v>Isolated dev storage + agent-swift</x:v>
      </x:c>
      <x:c r="I50" s="19" t="str">
        <x:v>Yes</x:v>
      </x:c>
      <x:c r="J50" s="19" t="str">
        <x:v>Medium</x:v>
      </x:c>
      <x:c r="K50" s="19" t="str">
        <x:v>Not run - source inventory only</x:v>
      </x:c>
      <x:c r="L50" s="19" t="str"/>
      <x:c r="M50" s="19" t="str"/>
    </x:row>
    <x:row r="51" ht="72" customHeight="1">
      <x:c r="A51" s="19" t="str">
        <x:v>B-0050</x:v>
      </x:c>
      <x:c r="B51" s="19" t="str">
        <x:v>F-0031</x:v>
      </x:c>
      <x:c r="C51" s="19" t="str">
        <x:v>Stored Clips exist.</x:v>
      </x:c>
      <x:c r="D51" s="19" t="str">
        <x:v>A Clip row is visible.</x:v>
      </x:c>
      <x:c r="E51" s="19" t="str">
        <x:v>The user selects it.</x:v>
      </x:c>
      <x:c r="F51" s="19" t="str">
        <x:v>The inspector and editable drafts switch to that Clip.</x:v>
      </x:c>
      <x:c r="G51" s="19" t="str">
        <x:v>Selection</x:v>
      </x:c>
      <x:c r="H51" s="19" t="str">
        <x:v>Seeded Clip fixture + agent-swift</x:v>
      </x:c>
      <x:c r="I51" s="19" t="str">
        <x:v>Yes</x:v>
      </x:c>
      <x:c r="J51" s="19" t="str">
        <x:v>Medium</x:v>
      </x:c>
      <x:c r="K51" s="19" t="str">
        <x:v>Not run - source inventory only</x:v>
      </x:c>
      <x:c r="L51" s="19" t="str"/>
      <x:c r="M51" s="19" t="str"/>
    </x:row>
    <x:row r="52" ht="72" customHeight="1">
      <x:c r="A52" s="19" t="str">
        <x:v>B-0051</x:v>
      </x:c>
      <x:c r="B52" s="19" t="str">
        <x:v>F-0032</x:v>
      </x:c>
      <x:c r="C52" s="19" t="str">
        <x:v>Draft title and intent contain text.</x:v>
      </x:c>
      <x:c r="D52" s="19" t="str">
        <x:v>The Clip composer is idle.</x:v>
      </x:c>
      <x:c r="E52" s="19" t="str">
        <x:v>Clip recording starts.</x:v>
      </x:c>
      <x:c r="F52" s="19" t="str">
        <x:v>The normalized title and optional intent enter the manifest.</x:v>
      </x:c>
      <x:c r="G52" s="19" t="str">
        <x:v>Data capture</x:v>
      </x:c>
      <x:c r="H52" s="19" t="str">
        <x:v>View-model test + isolated fixture</x:v>
      </x:c>
      <x:c r="I52" s="19" t="str">
        <x:v>Yes</x:v>
      </x:c>
      <x:c r="J52" s="19" t="str">
        <x:v>Medium</x:v>
      </x:c>
      <x:c r="K52" s="19" t="str">
        <x:v>Not run - source inventory only</x:v>
      </x:c>
      <x:c r="L52" s="19" t="str"/>
      <x:c r="M52" s="19" t="str"/>
    </x:row>
    <x:row r="53" ht="72" customHeight="1">
      <x:c r="A53" s="19" t="str">
        <x:v>B-0052</x:v>
      </x:c>
      <x:c r="B53" s="19" t="str">
        <x:v>F-0033</x:v>
      </x:c>
      <x:c r="C53" s="19" t="str">
        <x:v>No Clip recording is active.</x:v>
      </x:c>
      <x:c r="D53" s="19" t="str">
        <x:v>Record Clip is available.</x:v>
      </x:c>
      <x:c r="E53" s="19" t="str">
        <x:v>The user presses it.</x:v>
      </x:c>
      <x:c r="F53" s="19" t="str">
        <x:v>Screen and audio capture start, the timer runs, and the new Clip is selected.</x:v>
      </x:c>
      <x:c r="G53" s="19" t="str">
        <x:v>Functional</x:v>
      </x:c>
      <x:c r="H53" s="19" t="str">
        <x:v>Dev-only recording flow</x:v>
      </x:c>
      <x:c r="I53" s="19" t="str">
        <x:v>Partial</x:v>
      </x:c>
      <x:c r="J53" s="19" t="str">
        <x:v>High</x:v>
      </x:c>
      <x:c r="K53" s="19" t="str">
        <x:v>Not run - source inventory only</x:v>
      </x:c>
      <x:c r="L53" s="19" t="str"/>
      <x:c r="M53" s="19" t="str"/>
    </x:row>
    <x:row r="54" ht="72" customHeight="1">
      <x:c r="A54" s="19" t="str">
        <x:v>B-0053</x:v>
      </x:c>
      <x:c r="B54" s="19" t="str">
        <x:v>F-0033</x:v>
      </x:c>
      <x:c r="C54" s="19" t="str">
        <x:v>Clip capture startup will fail.</x:v>
      </x:c>
      <x:c r="D54" s="19" t="str">
        <x:v>Record Clip is pressed.</x:v>
      </x:c>
      <x:c r="E54" s="19" t="str">
        <x:v>The start task completes.</x:v>
      </x:c>
      <x:c r="F54" s="19" t="str">
        <x:v>The Clip is saved as failed and error text is shown.</x:v>
      </x:c>
      <x:c r="G54" s="19" t="str">
        <x:v>Error state</x:v>
      </x:c>
      <x:c r="H54" s="19" t="str">
        <x:v>Injected recorder/process failure</x:v>
      </x:c>
      <x:c r="I54" s="19" t="str">
        <x:v>Yes</x:v>
      </x:c>
      <x:c r="J54" s="19" t="str">
        <x:v>High</x:v>
      </x:c>
      <x:c r="K54" s="19" t="str">
        <x:v>Not run - source inventory only</x:v>
      </x:c>
      <x:c r="L54" s="19" t="str"/>
      <x:c r="M54" s="19" t="str"/>
    </x:row>
    <x:row r="55" ht="72" customHeight="1">
      <x:c r="A55" s="19" t="str">
        <x:v>B-0054</x:v>
      </x:c>
      <x:c r="B55" s="19" t="str">
        <x:v>F-0033</x:v>
      </x:c>
      <x:c r="C55" s="19" t="str">
        <x:v>Clip recording is active.</x:v>
      </x:c>
      <x:c r="D55" s="19" t="str">
        <x:v>Stop Clip is available.</x:v>
      </x:c>
      <x:c r="E55" s="19" t="str">
        <x:v>The user presses it.</x:v>
      </x:c>
      <x:c r="F55" s="19" t="str">
        <x:v>Capture stops and transcript processing starts.</x:v>
      </x:c>
      <x:c r="G55" s="19" t="str">
        <x:v>Functional</x:v>
      </x:c>
      <x:c r="H55" s="19" t="str">
        <x:v>Dev-only recording flow</x:v>
      </x:c>
      <x:c r="I55" s="19" t="str">
        <x:v>Partial</x:v>
      </x:c>
      <x:c r="J55" s="19" t="str">
        <x:v>High</x:v>
      </x:c>
      <x:c r="K55" s="19" t="str">
        <x:v>Not run - source inventory only</x:v>
      </x:c>
      <x:c r="L55" s="19" t="str"/>
      <x:c r="M55" s="19" t="str"/>
    </x:row>
    <x:row r="56" ht="72" customHeight="1">
      <x:c r="A56" s="19" t="str">
        <x:v>B-0055</x:v>
      </x:c>
      <x:c r="B56" s="19" t="str">
        <x:v>F-0034</x:v>
      </x:c>
      <x:c r="C56" s="19" t="str">
        <x:v>Clip audio exists and transcription succeeds.</x:v>
      </x:c>
      <x:c r="D56" s="19" t="str">
        <x:v>Clip processing is active.</x:v>
      </x:c>
      <x:c r="E56" s="19" t="str">
        <x:v>Processing completes.</x:v>
      </x:c>
      <x:c r="F56" s="19" t="str">
        <x:v>The Clip becomes ready with transcript segments and an inferred title.</x:v>
      </x:c>
      <x:c r="G56" s="19" t="str">
        <x:v>Success state</x:v>
      </x:c>
      <x:c r="H56" s="19" t="str">
        <x:v>View-model test + audio fixture</x:v>
      </x:c>
      <x:c r="I56" s="19" t="str">
        <x:v>Yes</x:v>
      </x:c>
      <x:c r="J56" s="19" t="str">
        <x:v>High</x:v>
      </x:c>
      <x:c r="K56" s="19" t="str">
        <x:v>Not run - source inventory only</x:v>
      </x:c>
      <x:c r="L56" s="19" t="str"/>
      <x:c r="M56" s="19" t="str"/>
    </x:row>
    <x:row r="57" ht="72" customHeight="1">
      <x:c r="A57" s="19" t="str">
        <x:v>B-0056</x:v>
      </x:c>
      <x:c r="B57" s="19" t="str">
        <x:v>F-0034</x:v>
      </x:c>
      <x:c r="C57" s="19" t="str">
        <x:v>No Clip audio is available.</x:v>
      </x:c>
      <x:c r="D57" s="19" t="str">
        <x:v>Clip processing is active.</x:v>
      </x:c>
      <x:c r="E57" s="19" t="str">
        <x:v>Processing completes.</x:v>
      </x:c>
      <x:c r="F57" s="19" t="str">
        <x:v>The Clip becomes ready with an explicit no-transcript error.</x:v>
      </x:c>
      <x:c r="G57" s="19" t="str">
        <x:v>Degraded state</x:v>
      </x:c>
      <x:c r="H57" s="19" t="str">
        <x:v>View-model test</x:v>
      </x:c>
      <x:c r="I57" s="19" t="str">
        <x:v>Yes</x:v>
      </x:c>
      <x:c r="J57" s="19" t="str">
        <x:v>High</x:v>
      </x:c>
      <x:c r="K57" s="19" t="str">
        <x:v>Not run - source inventory only</x:v>
      </x:c>
      <x:c r="L57" s="19" t="str"/>
      <x:c r="M57" s="19" t="str"/>
    </x:row>
    <x:row r="58" ht="72" customHeight="1">
      <x:c r="A58" s="19" t="str">
        <x:v>B-0057</x:v>
      </x:c>
      <x:c r="B58" s="19" t="str">
        <x:v>F-0034</x:v>
      </x:c>
      <x:c r="C58" s="19" t="str">
        <x:v>Clip transcription will fail.</x:v>
      </x:c>
      <x:c r="D58" s="19" t="str">
        <x:v>Clip processing is active.</x:v>
      </x:c>
      <x:c r="E58" s="19" t="str">
        <x:v>Processing completes.</x:v>
      </x:c>
      <x:c r="F58" s="19" t="str">
        <x:v>The Clip becomes ready with a transcription-failed error.</x:v>
      </x:c>
      <x:c r="G58" s="19" t="str">
        <x:v>Degraded state</x:v>
      </x:c>
      <x:c r="H58" s="19" t="str">
        <x:v>Injected transcription failure</x:v>
      </x:c>
      <x:c r="I58" s="19" t="str">
        <x:v>Yes</x:v>
      </x:c>
      <x:c r="J58" s="19" t="str">
        <x:v>High</x:v>
      </x:c>
      <x:c r="K58" s="19" t="str">
        <x:v>Not run - source inventory only</x:v>
      </x:c>
      <x:c r="L58" s="19" t="str"/>
      <x:c r="M58" s="19" t="str"/>
    </x:row>
    <x:row r="59" ht="72" customHeight="1">
      <x:c r="A59" s="19" t="str">
        <x:v>B-0058</x:v>
      </x:c>
      <x:c r="B59" s="19" t="str">
        <x:v>F-0035</x:v>
      </x:c>
      <x:c r="C59" s="19" t="str">
        <x:v>A Clip is selected.</x:v>
      </x:c>
      <x:c r="D59" s="19" t="str">
        <x:v>Copy agent prompt is available.</x:v>
      </x:c>
      <x:c r="E59" s="19" t="str">
        <x:v>The user presses it.</x:v>
      </x:c>
      <x:c r="F59" s="19" t="str">
        <x:v>The clipboard receives the MCP instruction and local artifact paths.</x:v>
      </x:c>
      <x:c r="G59" s="19" t="str">
        <x:v>Clipboard</x:v>
      </x:c>
      <x:c r="H59" s="19" t="str">
        <x:v>Seeded Clip + pasteboard assertion</x:v>
      </x:c>
      <x:c r="I59" s="19" t="str">
        <x:v>Yes</x:v>
      </x:c>
      <x:c r="J59" s="19" t="str">
        <x:v>Medium</x:v>
      </x:c>
      <x:c r="K59" s="19" t="str">
        <x:v>Not run - source inventory only</x:v>
      </x:c>
      <x:c r="L59" s="19" t="str"/>
      <x:c r="M59" s="19" t="str"/>
    </x:row>
    <x:row r="60" ht="72" customHeight="1">
      <x:c r="A60" s="19" t="str">
        <x:v>B-0059</x:v>
      </x:c>
      <x:c r="B60" s="19" t="str">
        <x:v>F-0036</x:v>
      </x:c>
      <x:c r="C60" s="19" t="str">
        <x:v>A Clip is selected and its fields are edited.</x:v>
      </x:c>
      <x:c r="D60" s="19" t="str">
        <x:v>Save notes is available.</x:v>
      </x:c>
      <x:c r="E60" s="19" t="str">
        <x:v>The user presses it.</x:v>
      </x:c>
      <x:c r="F60" s="19" t="str">
        <x:v>Post notes, title, and intent are persisted.</x:v>
      </x:c>
      <x:c r="G60" s="19" t="str">
        <x:v>Persistence</x:v>
      </x:c>
      <x:c r="H60" s="19" t="str">
        <x:v>View-model test + isolated storage</x:v>
      </x:c>
      <x:c r="I60" s="19" t="str">
        <x:v>Yes</x:v>
      </x:c>
      <x:c r="J60" s="19" t="str">
        <x:v>Medium</x:v>
      </x:c>
      <x:c r="K60" s="19" t="str">
        <x:v>Not run - source inventory only</x:v>
      </x:c>
      <x:c r="L60" s="19" t="str"/>
      <x:c r="M60" s="19" t="str"/>
    </x:row>
    <x:row r="61" ht="72" customHeight="1">
      <x:c r="A61" s="19" t="str">
        <x:v>B-0060</x:v>
      </x:c>
      <x:c r="B61" s="19" t="str">
        <x:v>F-0036</x:v>
      </x:c>
      <x:c r="C61" s="19" t="str">
        <x:v>A Clip is selected.</x:v>
      </x:c>
      <x:c r="D61" s="19" t="str">
        <x:v>Reveal is available.</x:v>
      </x:c>
      <x:c r="E61" s="19" t="str">
        <x:v>The user presses it.</x:v>
      </x:c>
      <x:c r="F61" s="19" t="str">
        <x:v>Finder opens the Clip directory.</x:v>
      </x:c>
      <x:c r="G61" s="19" t="str">
        <x:v>OS integration</x:v>
      </x:c>
      <x:c r="H61" s="19" t="str">
        <x:v>Manual Finder observation</x:v>
      </x:c>
      <x:c r="I61" s="19" t="str">
        <x:v>No</x:v>
      </x:c>
      <x:c r="J61" s="19" t="str">
        <x:v>Low</x:v>
      </x:c>
      <x:c r="K61" s="19" t="str">
        <x:v>Not run - source inventory only</x:v>
      </x:c>
      <x:c r="L61" s="19" t="str"/>
      <x:c r="M61" s="19" t="str"/>
    </x:row>
    <x:row r="62" ht="72" customHeight="1">
      <x:c r="A62" s="19" t="str">
        <x:v>B-0061</x:v>
      </x:c>
      <x:c r="B62" s="19" t="str">
        <x:v>F-0037</x:v>
      </x:c>
      <x:c r="C62" s="19" t="str">
        <x:v>The user changes a transcription preference.</x:v>
      </x:c>
      <x:c r="D62" s="19" t="str">
        <x:v>A later transcription plan is requested.</x:v>
      </x:c>
      <x:c r="E62" s="19" t="str">
        <x:v>The plan resolves.</x:v>
      </x:c>
      <x:c r="F62" s="19" t="str">
        <x:v>The selected model order, speed, and language prompt are applied.</x:v>
      </x:c>
      <x:c r="G62" s="19" t="str">
        <x:v>Configuration</x:v>
      </x:c>
      <x:c r="H62" s="19" t="str">
        <x:v>Unit tests for plan resolution</x:v>
      </x:c>
      <x:c r="I62" s="19" t="str">
        <x:v>Yes</x:v>
      </x:c>
      <x:c r="J62" s="19" t="str">
        <x:v>High</x:v>
      </x:c>
      <x:c r="K62" s="19" t="str">
        <x:v>Not run - source inventory only</x:v>
      </x:c>
      <x:c r="L62" s="19" t="str"/>
      <x:c r="M62" s="19" t="str"/>
    </x:row>
    <x:row r="63" ht="72" customHeight="1">
      <x:c r="A63" s="19" t="str">
        <x:v>B-0062</x:v>
      </x:c>
      <x:c r="B63" s="19" t="str">
        <x:v>F-0038</x:v>
      </x:c>
      <x:c r="C63" s="19" t="str">
        <x:v>Settings is visible.</x:v>
      </x:c>
      <x:c r="D63" s="19" t="str">
        <x:v>Capture controls are enumerated.</x:v>
      </x:c>
      <x:c r="E63" s="19" t="str">
        <x:v>The user inspects retention options.</x:v>
      </x:c>
      <x:c r="F63" s="19" t="str">
        <x:v>No non-functional raw-audio retention toggle is presented.</x:v>
      </x:c>
      <x:c r="G63" s="19" t="str">
        <x:v>Functional</x:v>
      </x:c>
      <x:c r="H63" s="19" t="str">
        <x:v>Source trace + runtime Settings inspection</x:v>
      </x:c>
      <x:c r="I63" s="19" t="str">
        <x:v>Yes</x:v>
      </x:c>
      <x:c r="J63" s="19" t="str">
        <x:v>High</x:v>
      </x:c>
      <x:c r="K63" s="19" t="str">
        <x:v>Not run - source inventory only</x:v>
      </x:c>
      <x:c r="L63" s="19" t="str"/>
      <x:c r="M63" s="19" t="str"/>
    </x:row>
    <x:row r="64" ht="72" customHeight="1">
      <x:c r="A64" s="19" t="str">
        <x:v>B-0063</x:v>
      </x:c>
      <x:c r="B64" s="19" t="str">
        <x:v>F-0039</x:v>
      </x:c>
      <x:c r="C64" s="19" t="str">
        <x:v>Microphone or screen permission is granted or denied.</x:v>
      </x:c>
      <x:c r="D64" s="19" t="str">
        <x:v>Settings opens.</x:v>
      </x:c>
      <x:c r="E64" s="19" t="str">
        <x:v>Permission rows render.</x:v>
      </x:c>
      <x:c r="F64" s="19" t="str">
        <x:v>Each row shows Ready or Needs access.</x:v>
      </x:c>
      <x:c r="G64" s="19" t="str">
        <x:v>OS state</x:v>
      </x:c>
      <x:c r="H64" s="19" t="str">
        <x:v>Agent-swift + OS permission observation</x:v>
      </x:c>
      <x:c r="I64" s="19" t="str">
        <x:v>Partial</x:v>
      </x:c>
      <x:c r="J64" s="19" t="str">
        <x:v>High</x:v>
      </x:c>
      <x:c r="K64" s="19" t="str">
        <x:v>Not run - source inventory only</x:v>
      </x:c>
      <x:c r="L64" s="19" t="str"/>
      <x:c r="M64" s="19" t="str"/>
    </x:row>
    <x:row r="65" ht="72" customHeight="1">
      <x:c r="A65" s="19" t="str">
        <x:v>B-0064</x:v>
      </x:c>
      <x:c r="B65" s="19" t="str">
        <x:v>F-0039</x:v>
      </x:c>
      <x:c r="C65" s="19" t="str">
        <x:v>A privacy action is visible.</x:v>
      </x:c>
      <x:c r="D65" s="19" t="str">
        <x:v>Settings is open.</x:v>
      </x:c>
      <x:c r="E65" s="19" t="str">
        <x:v>The user presses it.</x:v>
      </x:c>
      <x:c r="F65" s="19" t="str">
        <x:v>macOS opens the corresponding Privacy pane.</x:v>
      </x:c>
      <x:c r="G65" s="19" t="str">
        <x:v>OS integration</x:v>
      </x:c>
      <x:c r="H65" s="19" t="str">
        <x:v>Manual System Settings observation</x:v>
      </x:c>
      <x:c r="I65" s="19" t="str">
        <x:v>No</x:v>
      </x:c>
      <x:c r="J65" s="19" t="str">
        <x:v>Medium</x:v>
      </x:c>
      <x:c r="K65" s="19" t="str">
        <x:v>Not run - source inventory only</x:v>
      </x:c>
      <x:c r="L65" s="19" t="str"/>
      <x:c r="M65" s="19" t="str"/>
    </x:row>
    <x:row r="66" ht="72" customHeight="1">
      <x:c r="A66" s="19" t="str">
        <x:v>B-0065</x:v>
      </x:c>
      <x:c r="B66" s="19" t="str">
        <x:v>F-0040</x:v>
      </x:c>
      <x:c r="C66" s="19" t="str">
        <x:v>Isolated Sessions or Clips storage has known contents.</x:v>
      </x:c>
      <x:c r="D66" s="19" t="str">
        <x:v>Settings appears or Refresh Storage is pressed.</x:v>
      </x:c>
      <x:c r="E66" s="19" t="str">
        <x:v>The storage scan completes.</x:v>
      </x:c>
      <x:c r="F66" s="19" t="str">
        <x:v>Sessions, Clips, and total sizes update.</x:v>
      </x:c>
      <x:c r="G66" s="19" t="str">
        <x:v>Data display</x:v>
      </x:c>
      <x:c r="H66" s="19" t="str">
        <x:v>Isolated fixture + agent-swift</x:v>
      </x:c>
      <x:c r="I66" s="19" t="str">
        <x:v>Yes</x:v>
      </x:c>
      <x:c r="J66" s="19" t="str">
        <x:v>Medium</x:v>
      </x:c>
      <x:c r="K66" s="19" t="str">
        <x:v>Not run - source inventory only</x:v>
      </x:c>
      <x:c r="L66" s="19" t="str"/>
      <x:c r="M66" s="19" t="str"/>
    </x:row>
    <x:row r="67" ht="72" customHeight="1">
      <x:c r="A67" s="19" t="str">
        <x:v>B-0066</x:v>
      </x:c>
      <x:c r="B67" s="19" t="str">
        <x:v>F-0040</x:v>
      </x:c>
      <x:c r="C67" s="19" t="str">
        <x:v>A Reveal action is visible.</x:v>
      </x:c>
      <x:c r="D67" s="19" t="str">
        <x:v>Settings is open.</x:v>
      </x:c>
      <x:c r="E67" s="19" t="str">
        <x:v>The user presses it.</x:v>
      </x:c>
      <x:c r="F67" s="19" t="str">
        <x:v>Finder opens the selected Sessions, Clips, or Models location.</x:v>
      </x:c>
      <x:c r="G67" s="19" t="str">
        <x:v>OS integration</x:v>
      </x:c>
      <x:c r="H67" s="19" t="str">
        <x:v>Manual Finder observation</x:v>
      </x:c>
      <x:c r="I67" s="19" t="str">
        <x:v>No</x:v>
      </x:c>
      <x:c r="J67" s="19" t="str">
        <x:v>Low</x:v>
      </x:c>
      <x:c r="K67" s="19" t="str">
        <x:v>Not run - source inventory only</x:v>
      </x:c>
      <x:c r="L67" s="19" t="str"/>
      <x:c r="M67" s="19" t="str"/>
    </x:row>
    <x:row r="68" ht="72" customHeight="1">
      <x:c r="A68" s="19" t="str">
        <x:v>B-0067</x:v>
      </x:c>
      <x:c r="B68" s="19" t="str">
        <x:v>F-0041</x:v>
      </x:c>
      <x:c r="C68" s="19" t="str">
        <x:v>Isolated Sessions storage contains disposable data.</x:v>
      </x:c>
      <x:c r="D68" s="19" t="str">
        <x:v>Clear Sessions is visible.</x:v>
      </x:c>
      <x:c r="E68" s="19" t="str">
        <x:v>The user presses it once.</x:v>
      </x:c>
      <x:c r="F68" s="19" t="str">
        <x:v>All non-hidden children are immediately deleted and the session model reloads.</x:v>
      </x:c>
      <x:c r="G68" s="19" t="str">
        <x:v>Destructive data</x:v>
      </x:c>
      <x:c r="H68" s="19" t="str">
        <x:v>Source review only unless explicitly authorized in isolated storage</x:v>
      </x:c>
      <x:c r="I68" s="19" t="str">
        <x:v>No</x:v>
      </x:c>
      <x:c r="J68" s="19" t="str">
        <x:v>Critical</x:v>
      </x:c>
      <x:c r="K68" s="19" t="str">
        <x:v>Not run - source inventory only</x:v>
      </x:c>
      <x:c r="L68" s="19" t="str"/>
      <x:c r="M68" s="19" t="str">
        <x:v>Protected action: never exercise against production recordings; no confirmation or recovery UI exists.</x:v>
      </x:c>
    </x:row>
    <x:row r="69" ht="72" customHeight="1">
      <x:c r="A69" s="19" t="str">
        <x:v>B-0068</x:v>
      </x:c>
      <x:c r="B69" s="19" t="str">
        <x:v>F-0042</x:v>
      </x:c>
      <x:c r="C69" s="19" t="str">
        <x:v>Isolated Clips storage contains disposable data.</x:v>
      </x:c>
      <x:c r="D69" s="19" t="str">
        <x:v>Clear Clips is visible.</x:v>
      </x:c>
      <x:c r="E69" s="19" t="str">
        <x:v>The user presses it once.</x:v>
      </x:c>
      <x:c r="F69" s="19" t="str">
        <x:v>All non-hidden children are immediately deleted.</x:v>
      </x:c>
      <x:c r="G69" s="19" t="str">
        <x:v>Destructive data</x:v>
      </x:c>
      <x:c r="H69" s="19" t="str">
        <x:v>Source review only unless explicitly authorized in isolated storage</x:v>
      </x:c>
      <x:c r="I69" s="19" t="str">
        <x:v>No</x:v>
      </x:c>
      <x:c r="J69" s="19" t="str">
        <x:v>Critical</x:v>
      </x:c>
      <x:c r="K69" s="19" t="str">
        <x:v>Not run - source inventory only</x:v>
      </x:c>
      <x:c r="L69" s="19" t="str"/>
      <x:c r="M69" s="19" t="str">
        <x:v>Protected action: never exercise against production Clips; no confirmation or recovery UI exists.</x:v>
      </x:c>
    </x:row>
    <x:row r="70" ht="72" customHeight="1">
      <x:c r="A70" s="19" t="str">
        <x:v>B-0069</x:v>
      </x:c>
      <x:c r="B70" s="19" t="str">
        <x:v>F-0011</x:v>
      </x:c>
      <x:c r="C70" s="19" t="str">
        <x:v>The app is running and no modal workflow is active.</x:v>
      </x:c>
      <x:c r="D70" s="19" t="str">
        <x:v>The status or floating menu is open.</x:v>
      </x:c>
      <x:c r="E70" s="19" t="str">
        <x:v>The user selects Settings.</x:v>
      </x:c>
      <x:c r="F70" s="19" t="str">
        <x:v>The Settings window becomes visible and exposes capture, permission, and storage controls.</x:v>
      </x:c>
      <x:c r="G70" s="19" t="str">
        <x:v>Navigation</x:v>
      </x:c>
      <x:c r="H70" s="19" t="str">
        <x:v>Agent-swift</x:v>
      </x:c>
      <x:c r="I70" s="19" t="str">
        <x:v>Yes</x:v>
      </x:c>
      <x:c r="J70" s="19" t="str">
        <x:v>Medium</x:v>
      </x:c>
      <x:c r="K70" s="19" t="str">
        <x:v>Not run - source inventory only</x:v>
      </x:c>
      <x:c r="L70" s="19" t="str"/>
      <x:c r="M70" s="19" t="str"/>
    </x:row>
    <x:row r="71" ht="72" customHeight="1">
      <x:c r="A71" s="19" t="str">
        <x:v>B-0070</x:v>
      </x:c>
      <x:c r="B71" s="19" t="str">
        <x:v>F-0012</x:v>
      </x:c>
      <x:c r="C71" s="19" t="str">
        <x:v>The app is idle.</x:v>
      </x:c>
      <x:c r="D71" s="19" t="str">
        <x:v>The status or floating menu is open.</x:v>
      </x:c>
      <x:c r="E71" s="19" t="str">
        <x:v>The user selects Quit.</x:v>
      </x:c>
      <x:c r="F71" s="19" t="str">
        <x:v>The app terminates without leaving active capture writers.</x:v>
      </x:c>
      <x:c r="G71" s="19" t="str">
        <x:v>Lifecycle</x:v>
      </x:c>
      <x:c r="H71" s="19" t="str">
        <x:v>Dev-app lifecycle test only</x:v>
      </x:c>
      <x:c r="I71" s="19" t="str">
        <x:v>Partial</x:v>
      </x:c>
      <x:c r="J71" s="19" t="str">
        <x:v>High</x:v>
      </x:c>
      <x:c r="K71" s="19" t="str">
        <x:v>Not run - source inventory only</x:v>
      </x:c>
      <x:c r="L71" s="19" t="str"/>
      <x:c r="M71" s="19" t="str">
        <x:v>Protected in production baseline because the running installed app must not be stopped.</x:v>
      </x:c>
    </x:row>
    <x:row r="72" ht="72" customHeight="1">
      <x:c r="A72" s="19" t="str">
        <x:v>B-0071</x:v>
      </x:c>
      <x:c r="B72" s="19" t="str">
        <x:v>F-0043</x:v>
      </x:c>
      <x:c r="C72" s="19" t="str">
        <x:v>The meeting-brain evidence pipeline exists.</x:v>
      </x:c>
      <x:c r="D72" s="19" t="str">
        <x:v>The user opens the reachable desktop settings and menus.</x:v>
      </x:c>
      <x:c r="E72" s="19" t="str">
        <x:v>Integration controls are inspected.</x:v>
      </x:c>
      <x:c r="F72" s="19" t="str">
        <x:v>A clear meeting-brain connection, health, and standalone mode surface is available.</x:v>
      </x:c>
      <x:c r="G72" s="19" t="str">
        <x:v>Expected integration</x:v>
      </x:c>
      <x:c r="H72" s="19" t="str">
        <x:v>Source and runtime surface reconciliation</x:v>
      </x:c>
      <x:c r="I72" s="19" t="str">
        <x:v>Yes</x:v>
      </x:c>
      <x:c r="J72" s="19" t="str">
        <x:v>High</x:v>
      </x:c>
      <x:c r="K72" s="19" t="str">
        <x:v>Not run - source inventory only</x:v>
      </x:c>
      <x:c r="L72" s="19" t="str"/>
      <x:c r="M72" s="19" t="str"/>
    </x:row>
    <x:row r="73" ht="72" customHeight="1">
      <x:c r="A73" s="19" t="str">
        <x:v>B-0072</x:v>
      </x:c>
      <x:c r="B73" s="19" t="str">
        <x:v>F-0013</x:v>
      </x:c>
      <x:c r="C73" s="19" t="str">
        <x:v>The installed app is idle.</x:v>
      </x:c>
      <x:c r="D73" s="19" t="str">
        <x:v>The floating panel is enumerated by WindowServer.</x:v>
      </x:c>
      <x:c r="E73" s="19" t="str">
        <x:v>Its frame is measured.</x:v>
      </x:c>
      <x:c r="F73" s="19" t="str">
        <x:v>The persistent idle indicator uses a compact non-obstructive footprint.</x:v>
      </x:c>
      <x:c r="G73" s="19" t="str">
        <x:v>Responsive</x:v>
      </x:c>
      <x:c r="H73" s="19" t="str">
        <x:v>WindowServer geometry + screenshot</x:v>
      </x:c>
      <x:c r="I73" s="19" t="str">
        <x:v>Yes</x:v>
      </x:c>
      <x:c r="J73" s="19" t="str">
        <x:v>High</x:v>
      </x:c>
      <x:c r="K73" s="19" t="str">
        <x:v>Not run - source inventory only</x:v>
      </x:c>
      <x:c r="L73" s="19" t="str"/>
      <x:c r="M73" s="19" t="str"/>
    </x:row>
    <x:row r="74" ht="72" customHeight="1">
      <x:c r="A74" s="19" t="str">
        <x:v>B-0073</x:v>
      </x:c>
      <x:c r="B74" s="19" t="str">
        <x:v>F-0001</x:v>
      </x:c>
      <x:c r="C74" s="19" t="str">
        <x:v>The installed app is idle.</x:v>
      </x:c>
      <x:c r="D74" s="19" t="str">
        <x:v>CPU and resident memory are sampled repeatedly.</x:v>
      </x:c>
      <x:c r="E74" s="19" t="str">
        <x:v>No user action occurs.</x:v>
      </x:c>
      <x:c r="F74" s="19" t="str">
        <x:v>Idle CPU remains negligible and memory remains stable.</x:v>
      </x:c>
      <x:c r="G74" s="19" t="str">
        <x:v>Performance</x:v>
      </x:c>
      <x:c r="H74" s="19" t="str">
        <x:v>Repeated process samples</x:v>
      </x:c>
      <x:c r="I74" s="19" t="str">
        <x:v>Yes</x:v>
      </x:c>
      <x:c r="J74" s="19" t="str">
        <x:v>Medium</x:v>
      </x:c>
      <x:c r="K74" s="19" t="str">
        <x:v>Not run - source inventory only</x:v>
      </x:c>
      <x:c r="L74" s="19" t="str"/>
      <x:c r="M74" s="19" t="str"/>
    </x:row>
    <x:row r="75" ht="72" customHeight="1">
      <x:c r="A75" s="19" t="str">
        <x:v>B-0074</x:v>
      </x:c>
      <x:c r="B75" s="19" t="str">
        <x:v>F-0003</x:v>
      </x:c>
      <x:c r="C75" s="19" t="str">
        <x:v>The floating bar is hidden and the menu-bar item is the only visible control.</x:v>
      </x:c>
      <x:c r="D75" s="19" t="str">
        <x:v>Accessibility attributes are inspected.</x:v>
      </x:c>
      <x:c r="E75" s="19" t="str">
        <x:v>The status item receives keyboard or assistive-technology focus.</x:v>
      </x:c>
      <x:c r="F75" s="19" t="str">
        <x:v>The control exposes a meaningful label, value, and action.</x:v>
      </x:c>
      <x:c r="G75" s="19" t="str">
        <x:v>Accessibility</x:v>
      </x:c>
      <x:c r="H75" s="19" t="str">
        <x:v>agent-swift AX inspection</x:v>
      </x:c>
      <x:c r="I75" s="19" t="str">
        <x:v>Yes</x:v>
      </x:c>
      <x:c r="J75" s="19" t="str">
        <x:v>High</x:v>
      </x:c>
      <x:c r="K75" s="19" t="str">
        <x:v>Not run - source inventory only</x:v>
      </x:c>
      <x:c r="L75" s="19" t="str"/>
      <x:c r="M75" s="19" t="str"/>
    </x:row>
    <x:row r="76" ht="72" customHeight="1">
      <x:c r="A76" s="19" t="str">
        <x:v>B-0075</x:v>
      </x:c>
      <x:c r="B76" s="19" t="str">
        <x:v>F-0001</x:v>
      </x:c>
      <x:c r="C76" s="19" t="str">
        <x:v>The production app is running.</x:v>
      </x:c>
      <x:c r="D76" s="19" t="str">
        <x:v>The standard macOS menu bar is inspected.</x:v>
      </x:c>
      <x:c r="E76" s="19" t="str">
        <x:v>Menus are enumerated.</x:v>
      </x:c>
      <x:c r="F76" s="19" t="str">
        <x:v>App, Edit, View, Window, and Help menus remain available with standard commands.</x:v>
      </x:c>
      <x:c r="G76" s="19" t="str">
        <x:v>Accessibility</x:v>
      </x:c>
      <x:c r="H76" s="19" t="str">
        <x:v>agent-swift menu inventory</x:v>
      </x:c>
      <x:c r="I76" s="19" t="str">
        <x:v>Yes</x:v>
      </x:c>
      <x:c r="J76" s="19" t="str">
        <x:v>Medium</x:v>
      </x:c>
      <x:c r="K76" s="19" t="str">
        <x:v>Not run - source inventory only</x:v>
      </x:c>
      <x:c r="L76" s="19" t="str"/>
      <x:c r="M76" s="19" t="str"/>
    </x:row>
  </x:sheetData>
  <x:pageMargins left="0.7" right="0.7" top="0.75" bottom="0.75" header="0.3" footer="0.3"/>
  <x:tableParts count="1">
    <x:tablePart xmlns:r="http://schemas.openxmlformats.org/officeDocument/2006/relationships" r:id="R72f0adbe6eec4a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20" hidden="0" customWidth="1"/>
    <x:col min="5" max="5" width="36" hidden="0" customWidth="1"/>
    <x:col min="6" max="6" width="34" hidden="0" customWidth="1"/>
    <x:col min="7" max="7" width="34" hidden="0" customWidth="1"/>
    <x:col min="8" max="8" width="44" hidden="0" customWidth="1"/>
    <x:col min="9" max="9" width="40" hidden="0" customWidth="1"/>
    <x:col min="10" max="10" width="44" hidden="0" customWidth="1"/>
    <x:col min="11" max="11" width="14" hidden="0" customWidth="1"/>
    <x:col min="12" max="12" width="44" hidden="0" customWidth="1"/>
    <x:col min="13" max="13" width="18" hidden="0" customWidth="1"/>
    <x:col min="14" max="14" width="24" hidden="0" customWidth="1"/>
    <x:col min="15" max="15" width="42" hidden="0" customWidth="1"/>
  </x:cols>
  <x:sheetData>
    <x:row r="1" ht="34" customHeight="1">
      <x:c r="A1" s="9" t="str">
        <x:v>test_run_id</x:v>
      </x:c>
      <x:c r="B1" s="10" t="str">
        <x:v>run_id</x:v>
      </x:c>
      <x:c r="C1" s="10" t="str">
        <x:v>behavior_id</x:v>
      </x:c>
      <x:c r="D1" s="10" t="str">
        <x:v>phase</x:v>
      </x:c>
      <x:c r="E1" s="10" t="str">
        <x:v>commit_or_build</x:v>
      </x:c>
      <x:c r="F1" s="10" t="str">
        <x:v>environment</x:v>
      </x:c>
      <x:c r="G1" s="10" t="str">
        <x:v>preconditions</x:v>
      </x:c>
      <x:c r="H1" s="10" t="str">
        <x:v>steps</x:v>
      </x:c>
      <x:c r="I1" s="10" t="str">
        <x:v>expected</x:v>
      </x:c>
      <x:c r="J1" s="10" t="str">
        <x:v>actual</x:v>
      </x:c>
      <x:c r="K1" s="10" t="str">
        <x:v>result</x:v>
      </x:c>
      <x:c r="L1" s="10" t="str">
        <x:v>evidence</x:v>
      </x:c>
      <x:c r="M1" s="10" t="str">
        <x:v>tester</x:v>
      </x:c>
      <x:c r="N1" s="10" t="str">
        <x:v>tested_at</x:v>
      </x:c>
      <x:c r="O1" s="11" t="str">
        <x:v>notes</x:v>
      </x:c>
    </x:row>
    <x:row r="2" ht="72" customHeight="1">
      <x:c r="A2" s="18" t="str">
        <x:v>T-0001</x:v>
      </x:c>
      <x:c r="B2" s="18" t="str">
        <x:v>RUN-20260727-01</x:v>
      </x:c>
      <x:c r="C2" s="18" t="str">
        <x:v>B-0001</x:v>
      </x:c>
      <x:c r="D2" s="18" t="str">
        <x:v>Baseline</x:v>
      </x:c>
      <x:c r="E2" s="18" t="str">
        <x:v>Installed /Applications/Sessions.app 0.0.0-local (1); executable sha256 bb850395a607edc80f4cb0d74d5de73843bf3960eff2fb69b1e7653c3717b9ff</x:v>
      </x:c>
      <x:c r="F2" s="18" t="str">
        <x:v>macOS 26.5.2 (25F84), arm64, production PID 53535, displays asleep, no recording/settings/data mutation</x:v>
      </x:c>
      <x:c r="G2" s="18" t="str">
        <x:v>App is not running.</x:v>
      </x:c>
      <x:c r="H2" s="18" t="str">
        <x:v>Connect agent-swift to the running production bundle without relaunching it; inspect Info.plist and WindowServer state.</x:v>
      </x:c>
      <x:c r="I2" s="18" t="str">
        <x:v>The app remains accessory-only and initializes the status item and floating bar.</x:v>
      </x:c>
      <x:c r="J2" s="18" t="str">
        <x:v>Connected to PID 53535. The app is LSUIElement/accessory-only, and the status item plus floating panel were present.</x:v>
      </x:c>
      <x:c r="K2" s="18" t="str">
        <x:v>Pass</x:v>
      </x:c>
      <x:c r="L2" s="18" t="str">
        <x:v>/tmp/cepessa-sessions-production-qa/01-current-interactive.json; /tmp/cepessa-sessions-production-qa/08-info-plist.txt</x:v>
      </x:c>
      <x:c r="M2" s="18" t="str">
        <x:v>Codex runtime lane</x:v>
      </x:c>
      <x:c r="N2" s="18" t="n">
        <x:v>46230.21527777778</x:v>
      </x:c>
      <x:c r="O2" s="18" t="str"/>
    </x:row>
    <x:row r="3" ht="72" customHeight="1">
      <x:c r="A3" s="19" t="str">
        <x:v>T-0002</x:v>
      </x:c>
      <x:c r="B3" s="19" t="str">
        <x:v>RUN-20260727-01</x:v>
      </x:c>
      <x:c r="C3" s="19" t="str">
        <x:v>B-0002</x:v>
      </x:c>
      <x:c r="D3" s="19" t="str">
        <x:v>Baseline</x:v>
      </x:c>
      <x:c r="E3" s="19" t="str">
        <x:v>Installed /Applications/Sessions.app 0.0.0-local (1); executable sha256 bb850395a607edc80f4cb0d74d5de73843bf3960eff2fb69b1e7653c3717b9ff</x:v>
      </x:c>
      <x:c r="F3" s="19" t="str">
        <x:v>macOS 26.5.2 (25F84), arm64, production PID 53535, displays asleep, no recording/settings/data mutation</x:v>
      </x:c>
      <x:c r="G3" s="19" t="str">
        <x:v>App is running with no visible windows.</x:v>
      </x:c>
      <x:c r="H3" s="19" t="str">
        <x:v>Behavior was not executed against production because it requires recording, permissions, file access, destructive data, an awake display, seeded isolated state, or a reachable accessibility tree.</x:v>
      </x:c>
      <x:c r="I3" s="19" t="str">
        <x:v>The Sessions reading window becomes key and visible.</x:v>
      </x:c>
      <x:c r="J3" s="19" t="str">
        <x:v>Blocked by the frozen production-baseline safety boundary or environment; no pass is inferred from source.</x:v>
      </x:c>
      <x:c r="K3" s="19" t="str">
        <x:v>Blocked</x:v>
      </x:c>
      <x:c r="L3" s="19" t="str">
        <x:v>/tmp/cepessa-sessions-production-qa/04-window-inventory.txt</x:v>
      </x:c>
      <x:c r="M3" s="19" t="str">
        <x:v>Codex runtime lane</x:v>
      </x:c>
      <x:c r="N3" s="19" t="n">
        <x:v>46230.21527777778</x:v>
      </x:c>
      <x:c r="O3" s="19" t="str">
        <x:v>Preserved as blocked; must be rerun in the isolated dev app after the refactor.</x:v>
      </x:c>
    </x:row>
    <x:row r="4" ht="72" customHeight="1">
      <x:c r="A4" s="19" t="str">
        <x:v>T-0003</x:v>
      </x:c>
      <x:c r="B4" s="19" t="str">
        <x:v>RUN-20260727-01</x:v>
      </x:c>
      <x:c r="C4" s="19" t="str">
        <x:v>B-0003</x:v>
      </x:c>
      <x:c r="D4" s="19" t="str">
        <x:v>Baseline</x:v>
      </x:c>
      <x:c r="E4" s="19" t="str">
        <x:v>Installed /Applications/Sessions.app 0.0.0-local (1); executable sha256 bb850395a607edc80f4cb0d74d5de73843bf3960eff2fb69b1e7653c3717b9ff</x:v>
      </x:c>
      <x:c r="F4" s="19" t="str">
        <x:v>macOS 26.5.2 (25F84), arm64, production PID 53535, displays asleep, no recording/settings/data mutation</x:v>
      </x:c>
      <x:c r="G4" s="19" t="str">
        <x:v>No recording, processing, or recorder error.</x:v>
      </x:c>
      <x:c r="H4" s="19" t="str">
        <x:v>Open the status menu without selecting any state-changing command.</x:v>
      </x:c>
      <x:c r="I4" s="19" t="str">
        <x:v>The idle icon and Sessions ready status appear.</x:v>
      </x:c>
      <x:c r="J4" s="19" t="str">
        <x:v>The menu reported Sessions ready in the idle state.</x:v>
      </x:c>
      <x:c r="K4" s="19" t="str">
        <x:v>Pass</x:v>
      </x:c>
      <x:c r="L4" s="19" t="str">
        <x:v>/tmp/cepessa-sessions-production-qa/06-status-menu-open.json</x:v>
      </x:c>
      <x:c r="M4" s="19" t="str">
        <x:v>Codex runtime lane</x:v>
      </x:c>
      <x:c r="N4" s="19" t="n">
        <x:v>46230.21527777778</x:v>
      </x:c>
      <x:c r="O4" s="19" t="str"/>
    </x:row>
    <x:row r="5" ht="72" customHeight="1">
      <x:c r="A5" s="19" t="str">
        <x:v>T-0004</x:v>
      </x:c>
      <x:c r="B5" s="19" t="str">
        <x:v>RUN-20260727-01</x:v>
      </x:c>
      <x:c r="C5" s="19" t="str">
        <x:v>B-0004</x:v>
      </x:c>
      <x:c r="D5" s="19" t="str">
        <x:v>Baseline</x:v>
      </x:c>
      <x:c r="E5" s="19" t="str">
        <x:v>Installed /Applications/Sessions.app 0.0.0-local (1); executable sha256 bb850395a607edc80f4cb0d74d5de73843bf3960eff2fb69b1e7653c3717b9ff</x:v>
      </x:c>
      <x:c r="F5" s="19" t="str">
        <x:v>macOS 26.5.2 (25F84), arm64, production PID 53535, displays asleep, no recording/settings/data mutation</x:v>
      </x:c>
      <x:c r="G5" s="19" t="str">
        <x:v>Recording is active.</x:v>
      </x:c>
      <x:c r="H5" s="19" t="str">
        <x:v>Behavior was not executed against production because it requires recording, permissions, file access, destructive data, an awake display, seeded isolated state, or a reachable accessibility tree.</x:v>
      </x:c>
      <x:c r="I5" s="19" t="str">
        <x:v>The status item displays elapsed recording time.</x:v>
      </x:c>
      <x:c r="J5" s="19" t="str">
        <x:v>Blocked by the frozen production-baseline safety boundary or environment; no pass is inferred from source.</x:v>
      </x:c>
      <x:c r="K5" s="19" t="str">
        <x:v>Blocked</x:v>
      </x:c>
      <x:c r="L5" s="19" t="str">
        <x:v>/tmp/cepessa-sessions-production-qa/04-window-inventory.txt</x:v>
      </x:c>
      <x:c r="M5" s="19" t="str">
        <x:v>Codex runtime lane</x:v>
      </x:c>
      <x:c r="N5" s="19" t="n">
        <x:v>46230.21527777778</x:v>
      </x:c>
      <x:c r="O5" s="19" t="str">
        <x:v>Preserved as blocked; must be rerun in the isolated dev app after the refactor.</x:v>
      </x:c>
    </x:row>
    <x:row r="6" ht="72" customHeight="1">
      <x:c r="A6" s="19" t="str">
        <x:v>T-0005</x:v>
      </x:c>
      <x:c r="B6" s="19" t="str">
        <x:v>RUN-20260727-01</x:v>
      </x:c>
      <x:c r="C6" s="19" t="str">
        <x:v>B-0005</x:v>
      </x:c>
      <x:c r="D6" s="19" t="str">
        <x:v>Baseline</x:v>
      </x:c>
      <x:c r="E6" s="19" t="str">
        <x:v>Installed /Applications/Sessions.app 0.0.0-local (1); executable sha256 bb850395a607edc80f4cb0d74d5de73843bf3960eff2fb69b1e7653c3717b9ff</x:v>
      </x:c>
      <x:c r="F6" s="19" t="str">
        <x:v>macOS 26.5.2 (25F84), arm64, production PID 53535, displays asleep, no recording/settings/data mutation</x:v>
      </x:c>
      <x:c r="G6" s="19" t="str">
        <x:v>Transcription is active.</x:v>
      </x:c>
      <x:c r="H6" s="19" t="str">
        <x:v>Behavior was not executed against production because it requires recording, permissions, file access, destructive data, an awake display, seeded isolated state, or a reachable accessibility tree.</x:v>
      </x:c>
      <x:c r="I6" s="19" t="str">
        <x:v>The status item displays rounded percentage or ellipsis.</x:v>
      </x:c>
      <x:c r="J6" s="19" t="str">
        <x:v>Blocked by the frozen production-baseline safety boundary or environment; no pass is inferred from source.</x:v>
      </x:c>
      <x:c r="K6" s="19" t="str">
        <x:v>Blocked</x:v>
      </x:c>
      <x:c r="L6" s="19" t="str">
        <x:v>/tmp/cepessa-sessions-production-qa/04-window-inventory.txt</x:v>
      </x:c>
      <x:c r="M6" s="19" t="str">
        <x:v>Codex runtime lane</x:v>
      </x:c>
      <x:c r="N6" s="19" t="n">
        <x:v>46230.21527777778</x:v>
      </x:c>
      <x:c r="O6" s="19" t="str">
        <x:v>Preserved as blocked; must be rerun in the isolated dev app after the refactor.</x:v>
      </x:c>
    </x:row>
    <x:row r="7" ht="72" customHeight="1">
      <x:c r="A7" s="19" t="str">
        <x:v>T-0006</x:v>
      </x:c>
      <x:c r="B7" s="19" t="str">
        <x:v>RUN-20260727-01</x:v>
      </x:c>
      <x:c r="C7" s="19" t="str">
        <x:v>B-0006</x:v>
      </x:c>
      <x:c r="D7" s="19" t="str">
        <x:v>Baseline</x:v>
      </x:c>
      <x:c r="E7" s="19" t="str">
        <x:v>Installed /Applications/Sessions.app 0.0.0-local (1); executable sha256 bb850395a607edc80f4cb0d74d5de73843bf3960eff2fb69b1e7653c3717b9ff</x:v>
      </x:c>
      <x:c r="F7" s="19" t="str">
        <x:v>macOS 26.5.2 (25F84), arm64, production PID 53535, displays asleep, no recording/settings/data mutation</x:v>
      </x:c>
      <x:c r="G7" s="19" t="str">
        <x:v>A non-empty recorder message exists.</x:v>
      </x:c>
      <x:c r="H7" s="19" t="str">
        <x:v>Behavior was not executed against production because it requires recording, permissions, file access, destructive data, an awake display, seeded isolated state, or a reachable accessibility tree.</x:v>
      </x:c>
      <x:c r="I7" s="19" t="str">
        <x:v>The status item is classified as failed and displays an exclamation marker.</x:v>
      </x:c>
      <x:c r="J7" s="19" t="str">
        <x:v>Blocked by the frozen production-baseline safety boundary or environment; no pass is inferred from source.</x:v>
      </x:c>
      <x:c r="K7" s="19" t="str">
        <x:v>Blocked</x:v>
      </x:c>
      <x:c r="L7" s="19" t="str">
        <x:v>/tmp/cepessa-sessions-production-qa/04-window-inventory.txt</x:v>
      </x:c>
      <x:c r="M7" s="19" t="str">
        <x:v>Codex runtime lane</x:v>
      </x:c>
      <x:c r="N7" s="19" t="n">
        <x:v>46230.21527777778</x:v>
      </x:c>
      <x:c r="O7" s="19" t="str">
        <x:v>Preserved as blocked; must be rerun in the isolated dev app after the refactor.</x:v>
      </x:c>
    </x:row>
    <x:row r="8" ht="72" customHeight="1">
      <x:c r="A8" s="19" t="str">
        <x:v>T-0007</x:v>
      </x:c>
      <x:c r="B8" s="19" t="str">
        <x:v>RUN-20260727-01</x:v>
      </x:c>
      <x:c r="C8" s="19" t="str">
        <x:v>B-0007</x:v>
      </x:c>
      <x:c r="D8" s="19" t="str">
        <x:v>Baseline</x:v>
      </x:c>
      <x:c r="E8" s="19" t="str">
        <x:v>Installed /Applications/Sessions.app 0.0.0-local (1); executable sha256 bb850395a607edc80f4cb0d74d5de73843bf3960eff2fb69b1e7653c3717b9ff</x:v>
      </x:c>
      <x:c r="F8" s="19" t="str">
        <x:v>macOS 26.5.2 (25F84), arm64, production PID 53535, displays asleep, no recording/settings/data mutation</x:v>
      </x:c>
      <x:c r="G8" s="19" t="str">
        <x:v>At least two processing snapshots exist.</x:v>
      </x:c>
      <x:c r="H8" s="19" t="str">
        <x:v>Behavior was not executed against production because it requires recording, permissions, file access, destructive data, an awake display, seeded isolated state, or a reachable accessibility tree.</x:v>
      </x:c>
      <x:c r="I8" s="19" t="str">
        <x:v>A processing-queue count row appears.</x:v>
      </x:c>
      <x:c r="J8" s="19" t="str">
        <x:v>Blocked by the frozen production-baseline safety boundary or environment; no pass is inferred from source.</x:v>
      </x:c>
      <x:c r="K8" s="19" t="str">
        <x:v>Blocked</x:v>
      </x:c>
      <x:c r="L8" s="19" t="str">
        <x:v>/tmp/cepessa-sessions-production-qa/04-window-inventory.txt</x:v>
      </x:c>
      <x:c r="M8" s="19" t="str">
        <x:v>Codex runtime lane</x:v>
      </x:c>
      <x:c r="N8" s="19" t="n">
        <x:v>46230.21527777778</x:v>
      </x:c>
      <x:c r="O8" s="19" t="str">
        <x:v>Preserved as blocked; must be rerun in the isolated dev app after the refactor.</x:v>
      </x:c>
    </x:row>
    <x:row r="9" ht="72" customHeight="1">
      <x:c r="A9" s="19" t="str">
        <x:v>T-0008</x:v>
      </x:c>
      <x:c r="B9" s="19" t="str">
        <x:v>RUN-20260727-01</x:v>
      </x:c>
      <x:c r="C9" s="19" t="str">
        <x:v>B-0008</x:v>
      </x:c>
      <x:c r="D9" s="19" t="str">
        <x:v>Baseline</x:v>
      </x:c>
      <x:c r="E9" s="19" t="str">
        <x:v>Installed /Applications/Sessions.app 0.0.0-local (1); executable sha256 bb850395a607edc80f4cb0d74d5de73843bf3960eff2fb69b1e7653c3717b9ff</x:v>
      </x:c>
      <x:c r="F9" s="19" t="str">
        <x:v>macOS 26.5.2 (25F84), arm64, production PID 53535, displays asleep, no recording/settings/data mutation</x:v>
      </x:c>
      <x:c r="G9" s="19" t="str">
        <x:v>No recording is active.</x:v>
      </x:c>
      <x:c r="H9" s="19" t="str">
        <x:v>Behavior was not executed against production because it requires recording, permissions, file access, destructive data, an awake display, seeded isolated state, or a reachable accessibility tree.</x:v>
      </x:c>
      <x:c r="I9" s="19" t="str">
        <x:v>The recorder requests access and starts a new selected session.</x:v>
      </x:c>
      <x:c r="J9" s="19" t="str">
        <x:v>Blocked by the frozen production-baseline safety boundary or environment; no pass is inferred from source.</x:v>
      </x:c>
      <x:c r="K9" s="19" t="str">
        <x:v>Blocked</x:v>
      </x:c>
      <x:c r="L9" s="19" t="str">
        <x:v>/tmp/cepessa-sessions-production-qa/04-window-inventory.txt</x:v>
      </x:c>
      <x:c r="M9" s="19" t="str">
        <x:v>Codex runtime lane</x:v>
      </x:c>
      <x:c r="N9" s="19" t="n">
        <x:v>46230.21527777778</x:v>
      </x:c>
      <x:c r="O9" s="19" t="str">
        <x:v>Preserved as blocked; must be rerun in the isolated dev app after the refactor.</x:v>
      </x:c>
    </x:row>
    <x:row r="10" ht="72" customHeight="1">
      <x:c r="A10" s="19" t="str">
        <x:v>T-0009</x:v>
      </x:c>
      <x:c r="B10" s="19" t="str">
        <x:v>RUN-20260727-01</x:v>
      </x:c>
      <x:c r="C10" s="19" t="str">
        <x:v>B-0009</x:v>
      </x:c>
      <x:c r="D10" s="19" t="str">
        <x:v>Baseline</x:v>
      </x:c>
      <x:c r="E10" s="19" t="str">
        <x:v>Installed /Applications/Sessions.app 0.0.0-local (1); executable sha256 bb850395a607edc80f4cb0d74d5de73843bf3960eff2fb69b1e7653c3717b9ff</x:v>
      </x:c>
      <x:c r="F10" s="19" t="str">
        <x:v>macOS 26.5.2 (25F84), arm64, production PID 53535, displays asleep, no recording/settings/data mutation</x:v>
      </x:c>
      <x:c r="G10" s="19" t="str">
        <x:v>Recording is active.</x:v>
      </x:c>
      <x:c r="H10" s="19" t="str">
        <x:v>Behavior was not executed against production because it requires recording, permissions, file access, destructive data, an awake display, seeded isolated state, or a reachable accessibility tree.</x:v>
      </x:c>
      <x:c r="I10" s="19" t="str">
        <x:v>Capture stops and final transcription begins.</x:v>
      </x:c>
      <x:c r="J10" s="19" t="str">
        <x:v>Blocked by the frozen production-baseline safety boundary or environment; no pass is inferred from source.</x:v>
      </x:c>
      <x:c r="K10" s="19" t="str">
        <x:v>Blocked</x:v>
      </x:c>
      <x:c r="L10" s="19" t="str">
        <x:v>/tmp/cepessa-sessions-production-qa/04-window-inventory.txt</x:v>
      </x:c>
      <x:c r="M10" s="19" t="str">
        <x:v>Codex runtime lane</x:v>
      </x:c>
      <x:c r="N10" s="19" t="n">
        <x:v>46230.21527777778</x:v>
      </x:c>
      <x:c r="O10" s="19" t="str">
        <x:v>Preserved as blocked; must be rerun in the isolated dev app after the refactor.</x:v>
      </x:c>
    </x:row>
    <x:row r="11" ht="72" customHeight="1">
      <x:c r="A11" s="19" t="str">
        <x:v>T-0010</x:v>
      </x:c>
      <x:c r="B11" s="19" t="str">
        <x:v>RUN-20260727-01</x:v>
      </x:c>
      <x:c r="C11" s="19" t="str">
        <x:v>B-0010</x:v>
      </x:c>
      <x:c r="D11" s="19" t="str">
        <x:v>Baseline</x:v>
      </x:c>
      <x:c r="E11" s="19" t="str">
        <x:v>Installed /Applications/Sessions.app 0.0.0-local (1); executable sha256 bb850395a607edc80f4cb0d74d5de73843bf3960eff2fb69b1e7653c3717b9ff</x:v>
      </x:c>
      <x:c r="F11" s="19" t="str">
        <x:v>macOS 26.5.2 (25F84), arm64, production PID 53535, displays asleep, no recording/settings/data mutation</x:v>
      </x:c>
      <x:c r="G11" s="19" t="str">
        <x:v>A failed selected session retains local audio and is not processing.</x:v>
      </x:c>
      <x:c r="H11" s="19" t="str">
        <x:v>Behavior was not executed against production because it requires recording, permissions, file access, destructive data, an awake display, seeded isolated state, or a reachable accessibility tree.</x:v>
      </x:c>
      <x:c r="I11" s="19" t="str">
        <x:v>Transcript and recap reset and local transcription reruns.</x:v>
      </x:c>
      <x:c r="J11" s="19" t="str">
        <x:v>Blocked by the frozen production-baseline safety boundary or environment; no pass is inferred from source.</x:v>
      </x:c>
      <x:c r="K11" s="19" t="str">
        <x:v>Blocked</x:v>
      </x:c>
      <x:c r="L11" s="19" t="str">
        <x:v>/tmp/cepessa-sessions-production-qa/04-window-inventory.txt</x:v>
      </x:c>
      <x:c r="M11" s="19" t="str">
        <x:v>Codex runtime lane</x:v>
      </x:c>
      <x:c r="N11" s="19" t="n">
        <x:v>46230.21527777778</x:v>
      </x:c>
      <x:c r="O11" s="19" t="str">
        <x:v>Preserved as blocked; must be rerun in the isolated dev app after the refactor.</x:v>
      </x:c>
    </x:row>
    <x:row r="12" ht="72" customHeight="1">
      <x:c r="A12" s="19" t="str">
        <x:v>T-0011</x:v>
      </x:c>
      <x:c r="B12" s="19" t="str">
        <x:v>RUN-20260727-01</x:v>
      </x:c>
      <x:c r="C12" s="19" t="str">
        <x:v>B-0011</x:v>
      </x:c>
      <x:c r="D12" s="19" t="str">
        <x:v>Baseline</x:v>
      </x:c>
      <x:c r="E12" s="19" t="str">
        <x:v>Installed /Applications/Sessions.app 0.0.0-local (1); executable sha256 bb850395a607edc80f4cb0d74d5de73843bf3960eff2fb69b1e7653c3717b9ff</x:v>
      </x:c>
      <x:c r="F12" s="19" t="str">
        <x:v>macOS 26.5.2 (25F84), arm64, production PID 53535, displays asleep, no recording/settings/data mutation</x:v>
      </x:c>
      <x:c r="G12" s="19" t="str">
        <x:v>Stored sessions exist.</x:v>
      </x:c>
      <x:c r="H12" s="19" t="str">
        <x:v>Open the idle status menu and count recent-session rows.</x:v>
      </x:c>
      <x:c r="I12" s="19" t="str">
        <x:v>Up to the five newest sessions are listed.</x:v>
      </x:c>
      <x:c r="J12" s="19" t="str">
        <x:v>Five recent sessions were listed.</x:v>
      </x:c>
      <x:c r="K12" s="19" t="str">
        <x:v>Pass</x:v>
      </x:c>
      <x:c r="L12" s="19" t="str">
        <x:v>/tmp/cepessa-sessions-production-qa/06-status-menu-open.json</x:v>
      </x:c>
      <x:c r="M12" s="19" t="str">
        <x:v>Codex runtime lane</x:v>
      </x:c>
      <x:c r="N12" s="19" t="n">
        <x:v>46230.21527777778</x:v>
      </x:c>
      <x:c r="O12" s="19" t="str"/>
    </x:row>
    <x:row r="13" ht="72" customHeight="1">
      <x:c r="A13" s="19" t="str">
        <x:v>T-0012</x:v>
      </x:c>
      <x:c r="B13" s="19" t="str">
        <x:v>RUN-20260727-01</x:v>
      </x:c>
      <x:c r="C13" s="19" t="str">
        <x:v>B-0012</x:v>
      </x:c>
      <x:c r="D13" s="19" t="str">
        <x:v>Baseline</x:v>
      </x:c>
      <x:c r="E13" s="19" t="str">
        <x:v>Installed /Applications/Sessions.app 0.0.0-local (1); executable sha256 bb850395a607edc80f4cb0d74d5de73843bf3960eff2fb69b1e7653c3717b9ff</x:v>
      </x:c>
      <x:c r="F13" s="19" t="str">
        <x:v>macOS 26.5.2 (25F84), arm64, production PID 53535, displays asleep, no recording/settings/data mutation</x:v>
      </x:c>
      <x:c r="G13" s="19" t="str">
        <x:v>A recent session is listed.</x:v>
      </x:c>
      <x:c r="H13" s="19" t="str">
        <x:v>Behavior was not executed against production because it requires recording, permissions, file access, destructive data, an awake display, seeded isolated state, or a reachable accessibility tree.</x:v>
      </x:c>
      <x:c r="I13" s="19" t="str">
        <x:v>That session becomes selected and the reading window opens.</x:v>
      </x:c>
      <x:c r="J13" s="19" t="str">
        <x:v>Blocked by the frozen production-baseline safety boundary or environment; no pass is inferred from source.</x:v>
      </x:c>
      <x:c r="K13" s="19" t="str">
        <x:v>Blocked</x:v>
      </x:c>
      <x:c r="L13" s="19" t="str">
        <x:v>/tmp/cepessa-sessions-production-qa/04-window-inventory.txt</x:v>
      </x:c>
      <x:c r="M13" s="19" t="str">
        <x:v>Codex runtime lane</x:v>
      </x:c>
      <x:c r="N13" s="19" t="n">
        <x:v>46230.21527777778</x:v>
      </x:c>
      <x:c r="O13" s="19" t="str">
        <x:v>Preserved as blocked; must be rerun in the isolated dev app after the refactor.</x:v>
      </x:c>
    </x:row>
    <x:row r="14" ht="72" customHeight="1">
      <x:c r="A14" s="19" t="str">
        <x:v>T-0013</x:v>
      </x:c>
      <x:c r="B14" s="19" t="str">
        <x:v>RUN-20260727-01</x:v>
      </x:c>
      <x:c r="C14" s="19" t="str">
        <x:v>B-0013</x:v>
      </x:c>
      <x:c r="D14" s="19" t="str">
        <x:v>Baseline</x:v>
      </x:c>
      <x:c r="E14" s="19" t="str">
        <x:v>Installed /Applications/Sessions.app 0.0.0-local (1); executable sha256 bb850395a607edc80f4cb0d74d5de73843bf3960eff2fb69b1e7653c3717b9ff</x:v>
      </x:c>
      <x:c r="F14" s="19" t="str">
        <x:v>macOS 26.5.2 (25F84), arm64, production PID 53535, displays asleep, no recording/settings/data mutation</x:v>
      </x:c>
      <x:c r="G14" s="19" t="str">
        <x:v>A status or floating menu is open.</x:v>
      </x:c>
      <x:c r="H14" s="19" t="str">
        <x:v>Invoke All Sessions from the status menu, then inspect the resulting window.</x:v>
      </x:c>
      <x:c r="I14" s="19" t="str">
        <x:v>The main window routes to the reading view.</x:v>
      </x:c>
      <x:c r="J14" s="19" t="str">
        <x:v>WindowServer reported a 1200×800 Sessions window, but the app exposed no accessible window tree, so the reading route could not be asserted.</x:v>
      </x:c>
      <x:c r="K14" s="19" t="str">
        <x:v>Blocked</x:v>
      </x:c>
      <x:c r="L14" s="19" t="str">
        <x:v>/tmp/cepessa-sessions-production-qa/03-all-sessions-interactive.json; /tmp/cepessa-sessions-production-qa/04-window-inventory.txt</x:v>
      </x:c>
      <x:c r="M14" s="19" t="str">
        <x:v>Codex runtime lane</x:v>
      </x:c>
      <x:c r="N14" s="19" t="n">
        <x:v>46230.21527777778</x:v>
      </x:c>
      <x:c r="O14" s="19" t="str">
        <x:v>Preserved as blocked; must be rerun in the isolated dev app after the refactor.</x:v>
      </x:c>
    </x:row>
    <x:row r="15" ht="72" customHeight="1">
      <x:c r="A15" s="19" t="str">
        <x:v>T-0014</x:v>
      </x:c>
      <x:c r="B15" s="19" t="str">
        <x:v>RUN-20260727-01</x:v>
      </x:c>
      <x:c r="C15" s="19" t="str">
        <x:v>B-0014</x:v>
      </x:c>
      <x:c r="D15" s="19" t="str">
        <x:v>Baseline</x:v>
      </x:c>
      <x:c r="E15" s="19" t="str">
        <x:v>Installed /Applications/Sessions.app 0.0.0-local (1); executable sha256 bb850395a607edc80f4cb0d74d5de73843bf3960eff2fb69b1e7653c3717b9ff</x:v>
      </x:c>
      <x:c r="F15" s="19" t="str">
        <x:v>macOS 26.5.2 (25F84), arm64, production PID 53535, displays asleep, no recording/settings/data mutation</x:v>
      </x:c>
      <x:c r="G15" s="19" t="str">
        <x:v>A status or floating menu is open.</x:v>
      </x:c>
      <x:c r="H15" s="19" t="str">
        <x:v>Behavior was not executed against production because it requires recording, permissions, file access, destructive data, an awake display, seeded isolated state, or a reachable accessibility tree.</x:v>
      </x:c>
      <x:c r="I15" s="19" t="str">
        <x:v>The main window routes to Clips.</x:v>
      </x:c>
      <x:c r="J15" s="19" t="str">
        <x:v>Blocked by the frozen production-baseline safety boundary or environment; no pass is inferred from source.</x:v>
      </x:c>
      <x:c r="K15" s="19" t="str">
        <x:v>Blocked</x:v>
      </x:c>
      <x:c r="L15" s="19" t="str">
        <x:v>/tmp/cepessa-sessions-production-qa/04-window-inventory.txt</x:v>
      </x:c>
      <x:c r="M15" s="19" t="str">
        <x:v>Codex runtime lane</x:v>
      </x:c>
      <x:c r="N15" s="19" t="n">
        <x:v>46230.21527777778</x:v>
      </x:c>
      <x:c r="O15" s="19" t="str">
        <x:v>Preserved as blocked; must be rerun in the isolated dev app after the refactor.</x:v>
      </x:c>
    </x:row>
    <x:row r="16" ht="72" customHeight="1">
      <x:c r="A16" s="19" t="str">
        <x:v>T-0015</x:v>
      </x:c>
      <x:c r="B16" s="19" t="str">
        <x:v>RUN-20260727-01</x:v>
      </x:c>
      <x:c r="C16" s="19" t="str">
        <x:v>B-0015</x:v>
      </x:c>
      <x:c r="D16" s="19" t="str">
        <x:v>Baseline</x:v>
      </x:c>
      <x:c r="E16" s="19" t="str">
        <x:v>Installed /Applications/Sessions.app 0.0.0-local (1); executable sha256 bb850395a607edc80f4cb0d74d5de73843bf3960eff2fb69b1e7653c3717b9ff</x:v>
      </x:c>
      <x:c r="F16" s="19" t="str">
        <x:v>macOS 26.5.2 (25F84), arm64, production PID 53535, displays asleep, no recording/settings/data mutation</x:v>
      </x:c>
      <x:c r="G16" s="19" t="str">
        <x:v>The native audio-import panel is open.</x:v>
      </x:c>
      <x:c r="H16" s="19" t="str">
        <x:v>Behavior was not executed against production because it requires recording, permissions, file access, destructive data, an awake display, seeded isolated state, or a reachable accessibility tree.</x:v>
      </x:c>
      <x:c r="I16" s="19" t="str">
        <x:v>No session or file mutation occurs.</x:v>
      </x:c>
      <x:c r="J16" s="19" t="str">
        <x:v>Blocked by the frozen production-baseline safety boundary or environment; no pass is inferred from source.</x:v>
      </x:c>
      <x:c r="K16" s="19" t="str">
        <x:v>Blocked</x:v>
      </x:c>
      <x:c r="L16" s="19" t="str">
        <x:v>/tmp/cepessa-sessions-production-qa/04-window-inventory.txt</x:v>
      </x:c>
      <x:c r="M16" s="19" t="str">
        <x:v>Codex runtime lane</x:v>
      </x:c>
      <x:c r="N16" s="19" t="n">
        <x:v>46230.21527777778</x:v>
      </x:c>
      <x:c r="O16" s="19" t="str">
        <x:v>Preserved as blocked; must be rerun in the isolated dev app after the refactor.</x:v>
      </x:c>
    </x:row>
    <x:row r="17" ht="72" customHeight="1">
      <x:c r="A17" s="19" t="str">
        <x:v>T-0016</x:v>
      </x:c>
      <x:c r="B17" s="19" t="str">
        <x:v>RUN-20260727-01</x:v>
      </x:c>
      <x:c r="C17" s="19" t="str">
        <x:v>B-0016</x:v>
      </x:c>
      <x:c r="D17" s="19" t="str">
        <x:v>Baseline</x:v>
      </x:c>
      <x:c r="E17" s="19" t="str">
        <x:v>Installed /Applications/Sessions.app 0.0.0-local (1); executable sha256 bb850395a607edc80f4cb0d74d5de73843bf3960eff2fb69b1e7653c3717b9ff</x:v>
      </x:c>
      <x:c r="F17" s="19" t="str">
        <x:v>macOS 26.5.2 (25F84), arm64, production PID 53535, displays asleep, no recording/settings/data mutation</x:v>
      </x:c>
      <x:c r="G17" s="19" t="str">
        <x:v>A valid temporary audio fixture is available.</x:v>
      </x:c>
      <x:c r="H17" s="19" t="str">
        <x:v>Behavior was not executed against production because it requires recording, permissions, file access, destructive data, an awake display, seeded isolated state, or a reachable accessibility tree.</x:v>
      </x:c>
      <x:c r="I17" s="19" t="str">
        <x:v>Audio is normalized, a selected transcribing session is created, and processing starts.</x:v>
      </x:c>
      <x:c r="J17" s="19" t="str">
        <x:v>Blocked by the frozen production-baseline safety boundary or environment; no pass is inferred from source.</x:v>
      </x:c>
      <x:c r="K17" s="19" t="str">
        <x:v>Blocked</x:v>
      </x:c>
      <x:c r="L17" s="19" t="str">
        <x:v>/tmp/cepessa-sessions-production-qa/04-window-inventory.txt</x:v>
      </x:c>
      <x:c r="M17" s="19" t="str">
        <x:v>Codex runtime lane</x:v>
      </x:c>
      <x:c r="N17" s="19" t="n">
        <x:v>46230.21527777778</x:v>
      </x:c>
      <x:c r="O17" s="19" t="str">
        <x:v>Preserved as blocked; must be rerun in the isolated dev app after the refactor.</x:v>
      </x:c>
    </x:row>
    <x:row r="18" ht="72" customHeight="1">
      <x:c r="A18" s="19" t="str">
        <x:v>T-0017</x:v>
      </x:c>
      <x:c r="B18" s="19" t="str">
        <x:v>RUN-20260727-01</x:v>
      </x:c>
      <x:c r="C18" s="19" t="str">
        <x:v>B-0017</x:v>
      </x:c>
      <x:c r="D18" s="19" t="str">
        <x:v>Baseline</x:v>
      </x:c>
      <x:c r="E18" s="19" t="str">
        <x:v>Installed /Applications/Sessions.app 0.0.0-local (1); executable sha256 bb850395a607edc80f4cb0d74d5de73843bf3960eff2fb69b1e7653c3717b9ff</x:v>
      </x:c>
      <x:c r="F18" s="19" t="str">
        <x:v>macOS 26.5.2 (25F84), arm64, production PID 53535, displays asleep, no recording/settings/data mutation</x:v>
      </x:c>
      <x:c r="G18" s="19" t="str">
        <x:v>The selected import cannot be normalized.</x:v>
      </x:c>
      <x:c r="H18" s="19" t="str">
        <x:v>Behavior was not executed against production because it requires recording, permissions, file access, destructive data, an awake display, seeded isolated state, or a reachable accessibility tree.</x:v>
      </x:c>
      <x:c r="I18" s="19" t="str">
        <x:v>The session becomes failed and the error state is published.</x:v>
      </x:c>
      <x:c r="J18" s="19" t="str">
        <x:v>Blocked by the frozen production-baseline safety boundary or environment; no pass is inferred from source.</x:v>
      </x:c>
      <x:c r="K18" s="19" t="str">
        <x:v>Blocked</x:v>
      </x:c>
      <x:c r="L18" s="19" t="str">
        <x:v>/tmp/cepessa-sessions-production-qa/04-window-inventory.txt</x:v>
      </x:c>
      <x:c r="M18" s="19" t="str">
        <x:v>Codex runtime lane</x:v>
      </x:c>
      <x:c r="N18" s="19" t="n">
        <x:v>46230.21527777778</x:v>
      </x:c>
      <x:c r="O18" s="19" t="str">
        <x:v>Preserved as blocked; must be rerun in the isolated dev app after the refactor.</x:v>
      </x:c>
    </x:row>
    <x:row r="19" ht="72" customHeight="1">
      <x:c r="A19" s="19" t="str">
        <x:v>T-0018</x:v>
      </x:c>
      <x:c r="B19" s="19" t="str">
        <x:v>RUN-20260727-01</x:v>
      </x:c>
      <x:c r="C19" s="19" t="str">
        <x:v>B-0018</x:v>
      </x:c>
      <x:c r="D19" s="19" t="str">
        <x:v>Baseline</x:v>
      </x:c>
      <x:c r="E19" s="19" t="str">
        <x:v>Installed /Applications/Sessions.app 0.0.0-local (1); executable sha256 bb850395a607edc80f4cb0d74d5de73843bf3960eff2fb69b1e7653c3717b9ff</x:v>
      </x:c>
      <x:c r="F19" s="19" t="str">
        <x:v>macOS 26.5.2 (25F84), arm64, production PID 53535, displays asleep, no recording/settings/data mutation</x:v>
      </x:c>
      <x:c r="G19" s="19" t="str">
        <x:v>The floating bar is visible.</x:v>
      </x:c>
      <x:c r="H19" s="19" t="str">
        <x:v>Behavior was not executed against production because it requires recording, permissions, file access, destructive data, an awake display, seeded isolated state, or a reachable accessibility tree.</x:v>
      </x:c>
      <x:c r="I19" s="19" t="str">
        <x:v>The bar becomes transiently hidden and the menu changes to Show.</x:v>
      </x:c>
      <x:c r="J19" s="19" t="str">
        <x:v>Blocked by the frozen production-baseline safety boundary or environment; no pass is inferred from source.</x:v>
      </x:c>
      <x:c r="K19" s="19" t="str">
        <x:v>Blocked</x:v>
      </x:c>
      <x:c r="L19" s="19" t="str">
        <x:v>/tmp/cepessa-sessions-production-qa/04-window-inventory.txt</x:v>
      </x:c>
      <x:c r="M19" s="19" t="str">
        <x:v>Codex runtime lane</x:v>
      </x:c>
      <x:c r="N19" s="19" t="n">
        <x:v>46230.21527777778</x:v>
      </x:c>
      <x:c r="O19" s="19" t="str">
        <x:v>Preserved as blocked; must be rerun in the isolated dev app after the refactor.</x:v>
      </x:c>
    </x:row>
    <x:row r="20" ht="72" customHeight="1">
      <x:c r="A20" s="19" t="str">
        <x:v>T-0019</x:v>
      </x:c>
      <x:c r="B20" s="19" t="str">
        <x:v>RUN-20260727-01</x:v>
      </x:c>
      <x:c r="C20" s="19" t="str">
        <x:v>B-0019</x:v>
      </x:c>
      <x:c r="D20" s="19" t="str">
        <x:v>Baseline</x:v>
      </x:c>
      <x:c r="E20" s="19" t="str">
        <x:v>Installed /Applications/Sessions.app 0.0.0-local (1); executable sha256 bb850395a607edc80f4cb0d74d5de73843bf3960eff2fb69b1e7653c3717b9ff</x:v>
      </x:c>
      <x:c r="F20" s="19" t="str">
        <x:v>macOS 26.5.2 (25F84), arm64, production PID 53535, displays asleep, no recording/settings/data mutation</x:v>
      </x:c>
      <x:c r="G20" s="19" t="str">
        <x:v>The floating bar is hidden.</x:v>
      </x:c>
      <x:c r="H20" s="19" t="str">
        <x:v>Behavior was not executed against production because it requires recording, permissions, file access, destructive data, an awake display, seeded isolated state, or a reachable accessibility tree.</x:v>
      </x:c>
      <x:c r="I20" s="19" t="str">
        <x:v>The preference becomes enabled and the bar reappears.</x:v>
      </x:c>
      <x:c r="J20" s="19" t="str">
        <x:v>Blocked by the frozen production-baseline safety boundary or environment; no pass is inferred from source.</x:v>
      </x:c>
      <x:c r="K20" s="19" t="str">
        <x:v>Blocked</x:v>
      </x:c>
      <x:c r="L20" s="19" t="str">
        <x:v>/tmp/cepessa-sessions-production-qa/04-window-inventory.txt</x:v>
      </x:c>
      <x:c r="M20" s="19" t="str">
        <x:v>Codex runtime lane</x:v>
      </x:c>
      <x:c r="N20" s="19" t="n">
        <x:v>46230.21527777778</x:v>
      </x:c>
      <x:c r="O20" s="19" t="str">
        <x:v>Preserved as blocked; must be rerun in the isolated dev app after the refactor.</x:v>
      </x:c>
    </x:row>
    <x:row r="21" ht="72" customHeight="1">
      <x:c r="A21" s="19" t="str">
        <x:v>T-0020</x:v>
      </x:c>
      <x:c r="B21" s="19" t="str">
        <x:v>RUN-20260727-01</x:v>
      </x:c>
      <x:c r="C21" s="19" t="str">
        <x:v>B-0020</x:v>
      </x:c>
      <x:c r="D21" s="19" t="str">
        <x:v>Baseline</x:v>
      </x:c>
      <x:c r="E21" s="19" t="str">
        <x:v>Installed /Applications/Sessions.app 0.0.0-local (1); executable sha256 bb850395a607edc80f4cb0d74d5de73843bf3960eff2fb69b1e7653c3717b9ff</x:v>
      </x:c>
      <x:c r="F21" s="19" t="str">
        <x:v>macOS 26.5.2 (25F84), arm64, production PID 53535, displays asleep, no recording/settings/data mutation</x:v>
      </x:c>
      <x:c r="G21" s="19" t="str">
        <x:v>The idle floating bar is visible.</x:v>
      </x:c>
      <x:c r="H21" s="19" t="str">
        <x:v>Behavior was not executed against production because it requires recording, permissions, file access, destructive data, an awake display, seeded isolated state, or a reachable accessibility tree.</x:v>
      </x:c>
      <x:c r="I21" s="19" t="str">
        <x:v>Recording starts and the bar enters collapsed recording mode.</x:v>
      </x:c>
      <x:c r="J21" s="19" t="str">
        <x:v>Blocked by the frozen production-baseline safety boundary or environment; no pass is inferred from source.</x:v>
      </x:c>
      <x:c r="K21" s="19" t="str">
        <x:v>Blocked</x:v>
      </x:c>
      <x:c r="L21" s="19" t="str">
        <x:v>/tmp/cepessa-sessions-production-qa/04-window-inventory.txt</x:v>
      </x:c>
      <x:c r="M21" s="19" t="str">
        <x:v>Codex runtime lane</x:v>
      </x:c>
      <x:c r="N21" s="19" t="n">
        <x:v>46230.21527777778</x:v>
      </x:c>
      <x:c r="O21" s="19" t="str">
        <x:v>Preserved as blocked; must be rerun in the isolated dev app after the refactor.</x:v>
      </x:c>
    </x:row>
    <x:row r="22" ht="72" customHeight="1">
      <x:c r="A22" s="19" t="str">
        <x:v>T-0021</x:v>
      </x:c>
      <x:c r="B22" s="19" t="str">
        <x:v>RUN-20260727-01</x:v>
      </x:c>
      <x:c r="C22" s="19" t="str">
        <x:v>B-0021</x:v>
      </x:c>
      <x:c r="D22" s="19" t="str">
        <x:v>Baseline</x:v>
      </x:c>
      <x:c r="E22" s="19" t="str">
        <x:v>Installed /Applications/Sessions.app 0.0.0-local (1); executable sha256 bb850395a607edc80f4cb0d74d5de73843bf3960eff2fb69b1e7653c3717b9ff</x:v>
      </x:c>
      <x:c r="F22" s="19" t="str">
        <x:v>macOS 26.5.2 (25F84), arm64, production PID 53535, displays asleep, no recording/settings/data mutation</x:v>
      </x:c>
      <x:c r="G22" s="19" t="str">
        <x:v>Recording controls are collapsed.</x:v>
      </x:c>
      <x:c r="H22" s="19" t="str">
        <x:v>Behavior was not executed against production because it requires recording, permissions, file access, destructive data, an awake display, seeded isolated state, or a reachable accessibility tree.</x:v>
      </x:c>
      <x:c r="I22" s="19" t="str">
        <x:v>The lozenge geometry stays fixed and no controls appear without deliberate activation.</x:v>
      </x:c>
      <x:c r="J22" s="19" t="str">
        <x:v>Blocked by the frozen production-baseline safety boundary or environment; no pass is inferred from source.</x:v>
      </x:c>
      <x:c r="K22" s="19" t="str">
        <x:v>Blocked</x:v>
      </x:c>
      <x:c r="L22" s="19" t="str">
        <x:v>/tmp/cepessa-sessions-production-qa/04-window-inventory.txt</x:v>
      </x:c>
      <x:c r="M22" s="19" t="str">
        <x:v>Codex runtime lane</x:v>
      </x:c>
      <x:c r="N22" s="19" t="n">
        <x:v>46230.21527777778</x:v>
      </x:c>
      <x:c r="O22" s="19" t="str">
        <x:v>Preserved as blocked; must be rerun in the isolated dev app after the refactor.</x:v>
      </x:c>
    </x:row>
    <x:row r="23" ht="72" customHeight="1">
      <x:c r="A23" s="19" t="str">
        <x:v>T-0022</x:v>
      </x:c>
      <x:c r="B23" s="19" t="str">
        <x:v>RUN-20260727-01</x:v>
      </x:c>
      <x:c r="C23" s="19" t="str">
        <x:v>B-0022</x:v>
      </x:c>
      <x:c r="D23" s="19" t="str">
        <x:v>Baseline</x:v>
      </x:c>
      <x:c r="E23" s="19" t="str">
        <x:v>Installed /Applications/Sessions.app 0.0.0-local (1); executable sha256 bb850395a607edc80f4cb0d74d5de73843bf3960eff2fb69b1e7653c3717b9ff</x:v>
      </x:c>
      <x:c r="F23" s="19" t="str">
        <x:v>macOS 26.5.2 (25F84), arm64, production PID 53535, displays asleep, no recording/settings/data mutation</x:v>
      </x:c>
      <x:c r="G23" s="19" t="str">
        <x:v>Recording controls are collapsed.</x:v>
      </x:c>
      <x:c r="H23" s="19" t="str">
        <x:v>Behavior was not executed against production because it requires recording, permissions, file access, destructive data, an awake display, seeded isolated state, or a reachable accessibility tree.</x:v>
      </x:c>
      <x:c r="I23" s="19" t="str">
        <x:v>A compact 220×30 control tray opens.</x:v>
      </x:c>
      <x:c r="J23" s="19" t="str">
        <x:v>Blocked by the frozen production-baseline safety boundary or environment; no pass is inferred from source.</x:v>
      </x:c>
      <x:c r="K23" s="19" t="str">
        <x:v>Blocked</x:v>
      </x:c>
      <x:c r="L23" s="19" t="str">
        <x:v>/tmp/cepessa-sessions-production-qa/04-window-inventory.txt</x:v>
      </x:c>
      <x:c r="M23" s="19" t="str">
        <x:v>Codex runtime lane</x:v>
      </x:c>
      <x:c r="N23" s="19" t="n">
        <x:v>46230.21527777778</x:v>
      </x:c>
      <x:c r="O23" s="19" t="str">
        <x:v>Preserved as blocked; must be rerun in the isolated dev app after the refactor.</x:v>
      </x:c>
    </x:row>
    <x:row r="24" ht="72" customHeight="1">
      <x:c r="A24" s="19" t="str">
        <x:v>T-0023</x:v>
      </x:c>
      <x:c r="B24" s="19" t="str">
        <x:v>RUN-20260727-01</x:v>
      </x:c>
      <x:c r="C24" s="19" t="str">
        <x:v>B-0023</x:v>
      </x:c>
      <x:c r="D24" s="19" t="str">
        <x:v>Baseline</x:v>
      </x:c>
      <x:c r="E24" s="19" t="str">
        <x:v>Installed /Applications/Sessions.app 0.0.0-local (1); executable sha256 bb850395a607edc80f4cb0d74d5de73843bf3960eff2fb69b1e7653c3717b9ff</x:v>
      </x:c>
      <x:c r="F24" s="19" t="str">
        <x:v>macOS 26.5.2 (25F84), arm64, production PID 53535, displays asleep, no recording/settings/data mutation</x:v>
      </x:c>
      <x:c r="G24" s="19" t="str">
        <x:v>Recording controls are expanded.</x:v>
      </x:c>
      <x:c r="H24" s="19" t="str">
        <x:v>Behavior was not executed against production because it requires recording, permissions, file access, destructive data, an awake display, seeded isolated state, or a reachable accessibility tree.</x:v>
      </x:c>
      <x:c r="I24" s="19" t="str">
        <x:v>Controls collapse.</x:v>
      </x:c>
      <x:c r="J24" s="19" t="str">
        <x:v>Blocked by the frozen production-baseline safety boundary or environment; no pass is inferred from source.</x:v>
      </x:c>
      <x:c r="K24" s="19" t="str">
        <x:v>Blocked</x:v>
      </x:c>
      <x:c r="L24" s="19" t="str">
        <x:v>/tmp/cepessa-sessions-production-qa/04-window-inventory.txt</x:v>
      </x:c>
      <x:c r="M24" s="19" t="str">
        <x:v>Codex runtime lane</x:v>
      </x:c>
      <x:c r="N24" s="19" t="n">
        <x:v>46230.21527777778</x:v>
      </x:c>
      <x:c r="O24" s="19" t="str">
        <x:v>Preserved as blocked; must be rerun in the isolated dev app after the refactor.</x:v>
      </x:c>
    </x:row>
    <x:row r="25" ht="72" customHeight="1">
      <x:c r="A25" s="19" t="str">
        <x:v>T-0024</x:v>
      </x:c>
      <x:c r="B25" s="19" t="str">
        <x:v>RUN-20260727-01</x:v>
      </x:c>
      <x:c r="C25" s="19" t="str">
        <x:v>B-0024</x:v>
      </x:c>
      <x:c r="D25" s="19" t="str">
        <x:v>Baseline</x:v>
      </x:c>
      <x:c r="E25" s="19" t="str">
        <x:v>Installed /Applications/Sessions.app 0.0.0-local (1); executable sha256 bb850395a607edc80f4cb0d74d5de73843bf3960eff2fb69b1e7653c3717b9ff</x:v>
      </x:c>
      <x:c r="F25" s="19" t="str">
        <x:v>macOS 26.5.2 (25F84), arm64, production PID 53535, displays asleep, no recording/settings/data mutation</x:v>
      </x:c>
      <x:c r="G25" s="19" t="str">
        <x:v>Recording is active and the bar is visible.</x:v>
      </x:c>
      <x:c r="H25" s="19" t="str">
        <x:v>Behavior was not executed against production because it requires recording, permissions, file access, destructive data, an awake display, seeded isolated state, or a reachable accessibility tree.</x:v>
      </x:c>
      <x:c r="I25" s="19" t="str">
        <x:v>The bar hides until the recording state resets or Show is used.</x:v>
      </x:c>
      <x:c r="J25" s="19" t="str">
        <x:v>Blocked by the frozen production-baseline safety boundary or environment; no pass is inferred from source.</x:v>
      </x:c>
      <x:c r="K25" s="19" t="str">
        <x:v>Blocked</x:v>
      </x:c>
      <x:c r="L25" s="19" t="str">
        <x:v>/tmp/cepessa-sessions-production-qa/04-window-inventory.txt</x:v>
      </x:c>
      <x:c r="M25" s="19" t="str">
        <x:v>Codex runtime lane</x:v>
      </x:c>
      <x:c r="N25" s="19" t="n">
        <x:v>46230.21527777778</x:v>
      </x:c>
      <x:c r="O25" s="19" t="str">
        <x:v>Preserved as blocked; must be rerun in the isolated dev app after the refactor.</x:v>
      </x:c>
    </x:row>
    <x:row r="26" ht="72" customHeight="1">
      <x:c r="A26" s="19" t="str">
        <x:v>T-0025</x:v>
      </x:c>
      <x:c r="B26" s="19" t="str">
        <x:v>RUN-20260727-01</x:v>
      </x:c>
      <x:c r="C26" s="19" t="str">
        <x:v>B-0025</x:v>
      </x:c>
      <x:c r="D26" s="19" t="str">
        <x:v>Baseline</x:v>
      </x:c>
      <x:c r="E26" s="19" t="str">
        <x:v>Installed /Applications/Sessions.app 0.0.0-local (1); executable sha256 bb850395a607edc80f4cb0d74d5de73843bf3960eff2fb69b1e7653c3717b9ff</x:v>
      </x:c>
      <x:c r="F26" s="19" t="str">
        <x:v>macOS 26.5.2 (25F84), arm64, production PID 53535, displays asleep, no recording/settings/data mutation</x:v>
      </x:c>
      <x:c r="G26" s="19" t="str">
        <x:v>Recording is active and the mic is unmuted.</x:v>
      </x:c>
      <x:c r="H26" s="19" t="str">
        <x:v>Behavior was not executed against production because it requires recording, permissions, file access, destructive data, an awake display, seeded isolated state, or a reachable accessibility tree.</x:v>
      </x:c>
      <x:c r="I26" s="19" t="str">
        <x:v>The transcript mix becomes system-only and the microphone level becomes zero.</x:v>
      </x:c>
      <x:c r="J26" s="19" t="str">
        <x:v>Blocked by the frozen production-baseline safety boundary or environment; no pass is inferred from source.</x:v>
      </x:c>
      <x:c r="K26" s="19" t="str">
        <x:v>Blocked</x:v>
      </x:c>
      <x:c r="L26" s="19" t="str">
        <x:v>/tmp/cepessa-sessions-production-qa/04-window-inventory.txt</x:v>
      </x:c>
      <x:c r="M26" s="19" t="str">
        <x:v>Codex runtime lane</x:v>
      </x:c>
      <x:c r="N26" s="19" t="n">
        <x:v>46230.21527777778</x:v>
      </x:c>
      <x:c r="O26" s="19" t="str">
        <x:v>Preserved as blocked; must be rerun in the isolated dev app after the refactor.</x:v>
      </x:c>
    </x:row>
    <x:row r="27" ht="72" customHeight="1">
      <x:c r="A27" s="19" t="str">
        <x:v>T-0026</x:v>
      </x:c>
      <x:c r="B27" s="19" t="str">
        <x:v>RUN-20260727-01</x:v>
      </x:c>
      <x:c r="C27" s="19" t="str">
        <x:v>B-0026</x:v>
      </x:c>
      <x:c r="D27" s="19" t="str">
        <x:v>Baseline</x:v>
      </x:c>
      <x:c r="E27" s="19" t="str">
        <x:v>Installed /Applications/Sessions.app 0.0.0-local (1); executable sha256 bb850395a607edc80f4cb0d74d5de73843bf3960eff2fb69b1e7653c3717b9ff</x:v>
      </x:c>
      <x:c r="F27" s="19" t="str">
        <x:v>macOS 26.5.2 (25F84), arm64, production PID 53535, displays asleep, no recording/settings/data mutation</x:v>
      </x:c>
      <x:c r="G27" s="19" t="str">
        <x:v>Recording is active and the mic is muted.</x:v>
      </x:c>
      <x:c r="H27" s="19" t="str">
        <x:v>Behavior was not executed against production because it requires recording, permissions, file access, destructive data, an awake display, seeded isolated state, or a reachable accessibility tree.</x:v>
      </x:c>
      <x:c r="I27" s="19" t="str">
        <x:v>The prior mix mode is restored.</x:v>
      </x:c>
      <x:c r="J27" s="19" t="str">
        <x:v>Blocked by the frozen production-baseline safety boundary or environment; no pass is inferred from source.</x:v>
      </x:c>
      <x:c r="K27" s="19" t="str">
        <x:v>Blocked</x:v>
      </x:c>
      <x:c r="L27" s="19" t="str">
        <x:v>/tmp/cepessa-sessions-production-qa/04-window-inventory.txt</x:v>
      </x:c>
      <x:c r="M27" s="19" t="str">
        <x:v>Codex runtime lane</x:v>
      </x:c>
      <x:c r="N27" s="19" t="n">
        <x:v>46230.21527777778</x:v>
      </x:c>
      <x:c r="O27" s="19" t="str">
        <x:v>Preserved as blocked; must be rerun in the isolated dev app after the refactor.</x:v>
      </x:c>
    </x:row>
    <x:row r="28" ht="72" customHeight="1">
      <x:c r="A28" s="19" t="str">
        <x:v>T-0027</x:v>
      </x:c>
      <x:c r="B28" s="19" t="str">
        <x:v>RUN-20260727-01</x:v>
      </x:c>
      <x:c r="C28" s="19" t="str">
        <x:v>B-0027</x:v>
      </x:c>
      <x:c r="D28" s="19" t="str">
        <x:v>Baseline</x:v>
      </x:c>
      <x:c r="E28" s="19" t="str">
        <x:v>Installed /Applications/Sessions.app 0.0.0-local (1); executable sha256 bb850395a607edc80f4cb0d74d5de73843bf3960eff2fb69b1e7653c3717b9ff</x:v>
      </x:c>
      <x:c r="F28" s="19" t="str">
        <x:v>macOS 26.5.2 (25F84), arm64, production PID 53535, displays asleep, no recording/settings/data mutation</x:v>
      </x:c>
      <x:c r="G28" s="19" t="str">
        <x:v>Recording capture sources change.</x:v>
      </x:c>
      <x:c r="H28" s="19" t="str">
        <x:v>Behavior was not executed against production because it requires recording, permissions, file access, destructive data, an awake display, seeded isolated state, or a reachable accessibility tree.</x:v>
      </x:c>
      <x:c r="I28" s="19" t="str">
        <x:v>The health indicator resolves to healthy, partial, muted, or unavailable.</x:v>
      </x:c>
      <x:c r="J28" s="19" t="str">
        <x:v>Blocked by the frozen production-baseline safety boundary or environment; no pass is inferred from source.</x:v>
      </x:c>
      <x:c r="K28" s="19" t="str">
        <x:v>Blocked</x:v>
      </x:c>
      <x:c r="L28" s="19" t="str">
        <x:v>/tmp/cepessa-sessions-production-qa/04-window-inventory.txt</x:v>
      </x:c>
      <x:c r="M28" s="19" t="str">
        <x:v>Codex runtime lane</x:v>
      </x:c>
      <x:c r="N28" s="19" t="n">
        <x:v>46230.21527777778</x:v>
      </x:c>
      <x:c r="O28" s="19" t="str">
        <x:v>Preserved as blocked; must be rerun in the isolated dev app after the refactor.</x:v>
      </x:c>
    </x:row>
    <x:row r="29" ht="72" customHeight="1">
      <x:c r="A29" s="19" t="str">
        <x:v>T-0028</x:v>
      </x:c>
      <x:c r="B29" s="19" t="str">
        <x:v>RUN-20260727-01</x:v>
      </x:c>
      <x:c r="C29" s="19" t="str">
        <x:v>B-0028</x:v>
      </x:c>
      <x:c r="D29" s="19" t="str">
        <x:v>Baseline</x:v>
      </x:c>
      <x:c r="E29" s="19" t="str">
        <x:v>Installed /Applications/Sessions.app 0.0.0-local (1); executable sha256 bb850395a607edc80f4cb0d74d5de73843bf3960eff2fb69b1e7653c3717b9ff</x:v>
      </x:c>
      <x:c r="F29" s="19" t="str">
        <x:v>macOS 26.5.2 (25F84), arm64, production PID 53535, displays asleep, no recording/settings/data mutation</x:v>
      </x:c>
      <x:c r="G29" s="19" t="str">
        <x:v>Recording is active.</x:v>
      </x:c>
      <x:c r="H29" s="19" t="str">
        <x:v>Behavior was not executed against production because it requires recording, permissions, file access, destructive data, an awake display, seeded isolated state, or a reachable accessibility tree.</x:v>
      </x:c>
      <x:c r="I29" s="19" t="str">
        <x:v>The 66×22 recording lozenge visibly reports elapsed time without a waveform dashboard.</x:v>
      </x:c>
      <x:c r="J29" s="19" t="str">
        <x:v>Blocked by the frozen production-baseline safety boundary or environment; no pass is inferred from source.</x:v>
      </x:c>
      <x:c r="K29" s="19" t="str">
        <x:v>Blocked</x:v>
      </x:c>
      <x:c r="L29" s="19" t="str">
        <x:v>/tmp/cepessa-sessions-production-qa/04-window-inventory.txt</x:v>
      </x:c>
      <x:c r="M29" s="19" t="str">
        <x:v>Codex runtime lane</x:v>
      </x:c>
      <x:c r="N29" s="19" t="n">
        <x:v>46230.21527777778</x:v>
      </x:c>
      <x:c r="O29" s="19" t="str">
        <x:v>Preserved as blocked; must be rerun in the isolated dev app after the refactor.</x:v>
      </x:c>
    </x:row>
    <x:row r="30" ht="72" customHeight="1">
      <x:c r="A30" s="19" t="str">
        <x:v>T-0029</x:v>
      </x:c>
      <x:c r="B30" s="19" t="str">
        <x:v>RUN-20260727-01</x:v>
      </x:c>
      <x:c r="C30" s="19" t="str">
        <x:v>B-0029</x:v>
      </x:c>
      <x:c r="D30" s="19" t="str">
        <x:v>Baseline</x:v>
      </x:c>
      <x:c r="E30" s="19" t="str">
        <x:v>Installed /Applications/Sessions.app 0.0.0-local (1); executable sha256 bb850395a607edc80f4cb0d74d5de73843bf3960eff2fb69b1e7653c3717b9ff</x:v>
      </x:c>
      <x:c r="F30" s="19" t="str">
        <x:v>macOS 26.5.2 (25F84), arm64, production PID 53535, displays asleep, no recording/settings/data mutation</x:v>
      </x:c>
      <x:c r="G30" s="19" t="str">
        <x:v>One display exists and recording is active.</x:v>
      </x:c>
      <x:c r="H30" s="19" t="str">
        <x:v>Behavior was not executed against production because it requires recording, permissions, file access, destructive data, an awake display, seeded isolated state, or a reachable accessibility tree.</x:v>
      </x:c>
      <x:c r="I30" s="19" t="str">
        <x:v>A full screenshot is captured and attached at the current session offset.</x:v>
      </x:c>
      <x:c r="J30" s="19" t="str">
        <x:v>Blocked by the frozen production-baseline safety boundary or environment; no pass is inferred from source.</x:v>
      </x:c>
      <x:c r="K30" s="19" t="str">
        <x:v>Blocked</x:v>
      </x:c>
      <x:c r="L30" s="19" t="str">
        <x:v>/tmp/cepessa-sessions-production-qa/04-window-inventory.txt</x:v>
      </x:c>
      <x:c r="M30" s="19" t="str">
        <x:v>Codex runtime lane</x:v>
      </x:c>
      <x:c r="N30" s="19" t="n">
        <x:v>46230.21527777778</x:v>
      </x:c>
      <x:c r="O30" s="19" t="str">
        <x:v>Preserved as blocked; must be rerun in the isolated dev app after the refactor.</x:v>
      </x:c>
    </x:row>
    <x:row r="31" ht="72" customHeight="1">
      <x:c r="A31" s="19" t="str">
        <x:v>T-0030</x:v>
      </x:c>
      <x:c r="B31" s="19" t="str">
        <x:v>RUN-20260727-01</x:v>
      </x:c>
      <x:c r="C31" s="19" t="str">
        <x:v>B-0030</x:v>
      </x:c>
      <x:c r="D31" s="19" t="str">
        <x:v>Baseline</x:v>
      </x:c>
      <x:c r="E31" s="19" t="str">
        <x:v>Installed /Applications/Sessions.app 0.0.0-local (1); executable sha256 bb850395a607edc80f4cb0d74d5de73843bf3960eff2fb69b1e7653c3717b9ff</x:v>
      </x:c>
      <x:c r="F31" s="19" t="str">
        <x:v>macOS 26.5.2 (25F84), arm64, production PID 53535, displays asleep, no recording/settings/data mutation</x:v>
      </x:c>
      <x:c r="G31" s="19" t="str">
        <x:v>Multiple displays exist and recording is active.</x:v>
      </x:c>
      <x:c r="H31" s="19" t="str">
        <x:v>Behavior was not executed against production because it requires recording, permissions, file access, destructive data, an awake display, seeded isolated state, or a reachable accessibility tree.</x:v>
      </x:c>
      <x:c r="I31" s="19" t="str">
        <x:v>A display-selection menu appears before capture.</x:v>
      </x:c>
      <x:c r="J31" s="19" t="str">
        <x:v>Blocked by the frozen production-baseline safety boundary or environment; no pass is inferred from source.</x:v>
      </x:c>
      <x:c r="K31" s="19" t="str">
        <x:v>Blocked</x:v>
      </x:c>
      <x:c r="L31" s="19" t="str">
        <x:v>/tmp/cepessa-sessions-production-qa/04-window-inventory.txt</x:v>
      </x:c>
      <x:c r="M31" s="19" t="str">
        <x:v>Codex runtime lane</x:v>
      </x:c>
      <x:c r="N31" s="19" t="n">
        <x:v>46230.21527777778</x:v>
      </x:c>
      <x:c r="O31" s="19" t="str">
        <x:v>Preserved as blocked; must be rerun in the isolated dev app after the refactor.</x:v>
      </x:c>
    </x:row>
    <x:row r="32" ht="72" customHeight="1">
      <x:c r="A32" s="19" t="str">
        <x:v>T-0031</x:v>
      </x:c>
      <x:c r="B32" s="19" t="str">
        <x:v>RUN-20260727-01</x:v>
      </x:c>
      <x:c r="C32" s="19" t="str">
        <x:v>B-0031</x:v>
      </x:c>
      <x:c r="D32" s="19" t="str">
        <x:v>Baseline</x:v>
      </x:c>
      <x:c r="E32" s="19" t="str">
        <x:v>Installed /Applications/Sessions.app 0.0.0-local (1); executable sha256 bb850395a607edc80f4cb0d74d5de73843bf3960eff2fb69b1e7653c3717b9ff</x:v>
      </x:c>
      <x:c r="F32" s="19" t="str">
        <x:v>macOS 26.5.2 (25F84), arm64, production PID 53535, displays asleep, no recording/settings/data mutation</x:v>
      </x:c>
      <x:c r="G32" s="19" t="str">
        <x:v>Recording is active.</x:v>
      </x:c>
      <x:c r="H32" s="19" t="str">
        <x:v>Behavior was not executed against production because it requires recording, permissions, file access, destructive data, an awake display, seeded isolated state, or a reachable accessibility tree.</x:v>
      </x:c>
      <x:c r="I32" s="19" t="str">
        <x:v>Interactive system region capture begins.</x:v>
      </x:c>
      <x:c r="J32" s="19" t="str">
        <x:v>Blocked by the frozen production-baseline safety boundary or environment; no pass is inferred from source.</x:v>
      </x:c>
      <x:c r="K32" s="19" t="str">
        <x:v>Blocked</x:v>
      </x:c>
      <x:c r="L32" s="19" t="str">
        <x:v>/tmp/cepessa-sessions-production-qa/04-window-inventory.txt</x:v>
      </x:c>
      <x:c r="M32" s="19" t="str">
        <x:v>Codex runtime lane</x:v>
      </x:c>
      <x:c r="N32" s="19" t="n">
        <x:v>46230.21527777778</x:v>
      </x:c>
      <x:c r="O32" s="19" t="str">
        <x:v>Preserved as blocked; must be rerun in the isolated dev app after the refactor.</x:v>
      </x:c>
    </x:row>
    <x:row r="33" ht="72" customHeight="1">
      <x:c r="A33" s="19" t="str">
        <x:v>T-0032</x:v>
      </x:c>
      <x:c r="B33" s="19" t="str">
        <x:v>RUN-20260727-01</x:v>
      </x:c>
      <x:c r="C33" s="19" t="str">
        <x:v>B-0032</x:v>
      </x:c>
      <x:c r="D33" s="19" t="str">
        <x:v>Baseline</x:v>
      </x:c>
      <x:c r="E33" s="19" t="str">
        <x:v>Installed /Applications/Sessions.app 0.0.0-local (1); executable sha256 bb850395a607edc80f4cb0d74d5de73843bf3960eff2fb69b1e7653c3717b9ff</x:v>
      </x:c>
      <x:c r="F33" s="19" t="str">
        <x:v>macOS 26.5.2 (25F84), arm64, production PID 53535, displays asleep, no recording/settings/data mutation</x:v>
      </x:c>
      <x:c r="G33" s="19" t="str">
        <x:v>Recording is active and attachable temporary files exist.</x:v>
      </x:c>
      <x:c r="H33" s="19" t="str">
        <x:v>Behavior was not executed against production because it requires recording, permissions, file access, destructive data, an awake display, seeded isolated state, or a reachable accessibility tree.</x:v>
      </x:c>
      <x:c r="I33" s="19" t="str">
        <x:v>Each successful file is copied or attached and the success notice reports count and time.</x:v>
      </x:c>
      <x:c r="J33" s="19" t="str">
        <x:v>Blocked by the frozen production-baseline safety boundary or environment; no pass is inferred from source.</x:v>
      </x:c>
      <x:c r="K33" s="19" t="str">
        <x:v>Blocked</x:v>
      </x:c>
      <x:c r="L33" s="19" t="str">
        <x:v>/tmp/cepessa-sessions-production-qa/04-window-inventory.txt</x:v>
      </x:c>
      <x:c r="M33" s="19" t="str">
        <x:v>Codex runtime lane</x:v>
      </x:c>
      <x:c r="N33" s="19" t="n">
        <x:v>46230.21527777778</x:v>
      </x:c>
      <x:c r="O33" s="19" t="str">
        <x:v>Preserved as blocked; must be rerun in the isolated dev app after the refactor.</x:v>
      </x:c>
    </x:row>
    <x:row r="34" ht="72" customHeight="1">
      <x:c r="A34" s="19" t="str">
        <x:v>T-0033</x:v>
      </x:c>
      <x:c r="B34" s="19" t="str">
        <x:v>RUN-20260727-01</x:v>
      </x:c>
      <x:c r="C34" s="19" t="str">
        <x:v>B-0033</x:v>
      </x:c>
      <x:c r="D34" s="19" t="str">
        <x:v>Baseline</x:v>
      </x:c>
      <x:c r="E34" s="19" t="str">
        <x:v>Installed /Applications/Sessions.app 0.0.0-local (1); executable sha256 bb850395a607edc80f4cb0d74d5de73843bf3960eff2fb69b1e7653c3717b9ff</x:v>
      </x:c>
      <x:c r="F34" s="19" t="str">
        <x:v>macOS 26.5.2 (25F84), arm64, production PID 53535, displays asleep, no recording/settings/data mutation</x:v>
      </x:c>
      <x:c r="G34" s="19" t="str">
        <x:v>All selected file attachments will fail.</x:v>
      </x:c>
      <x:c r="H34" s="19" t="str">
        <x:v>Behavior was not executed against production because it requires recording, permissions, file access, destructive data, an awake display, seeded isolated state, or a reachable accessibility tree.</x:v>
      </x:c>
      <x:c r="I34" s="19" t="str">
        <x:v>An error state and File attachment failed notice appear.</x:v>
      </x:c>
      <x:c r="J34" s="19" t="str">
        <x:v>Blocked by the frozen production-baseline safety boundary or environment; no pass is inferred from source.</x:v>
      </x:c>
      <x:c r="K34" s="19" t="str">
        <x:v>Blocked</x:v>
      </x:c>
      <x:c r="L34" s="19" t="str">
        <x:v>/tmp/cepessa-sessions-production-qa/04-window-inventory.txt</x:v>
      </x:c>
      <x:c r="M34" s="19" t="str">
        <x:v>Codex runtime lane</x:v>
      </x:c>
      <x:c r="N34" s="19" t="n">
        <x:v>46230.21527777778</x:v>
      </x:c>
      <x:c r="O34" s="19" t="str">
        <x:v>Preserved as blocked; must be rerun in the isolated dev app after the refactor.</x:v>
      </x:c>
    </x:row>
    <x:row r="35" ht="72" customHeight="1">
      <x:c r="A35" s="19" t="str">
        <x:v>T-0034</x:v>
      </x:c>
      <x:c r="B35" s="19" t="str">
        <x:v>RUN-20260727-01</x:v>
      </x:c>
      <x:c r="C35" s="19" t="str">
        <x:v>B-0034</x:v>
      </x:c>
      <x:c r="D35" s="19" t="str">
        <x:v>Baseline</x:v>
      </x:c>
      <x:c r="E35" s="19" t="str">
        <x:v>Installed /Applications/Sessions.app 0.0.0-local (1); executable sha256 bb850395a607edc80f4cb0d74d5de73843bf3960eff2fb69b1e7653c3717b9ff</x:v>
      </x:c>
      <x:c r="F35" s="19" t="str">
        <x:v>macOS 26.5.2 (25F84), arm64, production PID 53535, displays asleep, no recording/settings/data mutation</x:v>
      </x:c>
      <x:c r="G35" s="19" t="str">
        <x:v>The floating bar is visible.</x:v>
      </x:c>
      <x:c r="H35" s="19" t="str">
        <x:v>Behavior was not executed against production because it requires recording, permissions, file access, destructive data, an awake display, seeded isolated state, or a reachable accessibility tree.</x:v>
      </x:c>
      <x:c r="I35" s="19" t="str">
        <x:v>The origin is persisted and restored on future panel creation.</x:v>
      </x:c>
      <x:c r="J35" s="19" t="str">
        <x:v>Blocked by the frozen production-baseline safety boundary or environment; no pass is inferred from source.</x:v>
      </x:c>
      <x:c r="K35" s="19" t="str">
        <x:v>Blocked</x:v>
      </x:c>
      <x:c r="L35" s="19" t="str">
        <x:v>/tmp/cepessa-sessions-production-qa/04-window-inventory.txt</x:v>
      </x:c>
      <x:c r="M35" s="19" t="str">
        <x:v>Codex runtime lane</x:v>
      </x:c>
      <x:c r="N35" s="19" t="n">
        <x:v>46230.21527777778</x:v>
      </x:c>
      <x:c r="O35" s="19" t="str">
        <x:v>Preserved as blocked; must be rerun in the isolated dev app after the refactor.</x:v>
      </x:c>
    </x:row>
    <x:row r="36" ht="72" customHeight="1">
      <x:c r="A36" s="19" t="str">
        <x:v>T-0035</x:v>
      </x:c>
      <x:c r="B36" s="19" t="str">
        <x:v>RUN-20260727-01</x:v>
      </x:c>
      <x:c r="C36" s="19" t="str">
        <x:v>B-0035</x:v>
      </x:c>
      <x:c r="D36" s="19" t="str">
        <x:v>Baseline</x:v>
      </x:c>
      <x:c r="E36" s="19" t="str">
        <x:v>Installed /Applications/Sessions.app 0.0.0-local (1); executable sha256 bb850395a607edc80f4cb0d74d5de73843bf3960eff2fb69b1e7653c3717b9ff</x:v>
      </x:c>
      <x:c r="F36" s="19" t="str">
        <x:v>macOS 26.5.2 (25F84), arm64, production PID 53535, displays asleep, no recording/settings/data mutation</x:v>
      </x:c>
      <x:c r="G36" s="19" t="str">
        <x:v>Import or transcription is active.</x:v>
      </x:c>
      <x:c r="H36" s="19" t="str">
        <x:v>Behavior was not executed against production because it requires recording, permissions, file access, destructive data, an awake display, seeded isolated state, or a reachable accessibility tree.</x:v>
      </x:c>
      <x:c r="I36" s="19" t="str">
        <x:v>The bar shows a spinner and percentage or stage title.</x:v>
      </x:c>
      <x:c r="J36" s="19" t="str">
        <x:v>Blocked by the frozen production-baseline safety boundary or environment; no pass is inferred from source.</x:v>
      </x:c>
      <x:c r="K36" s="19" t="str">
        <x:v>Blocked</x:v>
      </x:c>
      <x:c r="L36" s="19" t="str">
        <x:v>/tmp/cepessa-sessions-production-qa/04-window-inventory.txt</x:v>
      </x:c>
      <x:c r="M36" s="19" t="str">
        <x:v>Codex runtime lane</x:v>
      </x:c>
      <x:c r="N36" s="19" t="n">
        <x:v>46230.21527777778</x:v>
      </x:c>
      <x:c r="O36" s="19" t="str">
        <x:v>Preserved as blocked; must be rerun in the isolated dev app after the refactor.</x:v>
      </x:c>
    </x:row>
    <x:row r="37" ht="72" customHeight="1">
      <x:c r="A37" s="19" t="str">
        <x:v>T-0036</x:v>
      </x:c>
      <x:c r="B37" s="19" t="str">
        <x:v>RUN-20260727-01</x:v>
      </x:c>
      <x:c r="C37" s="19" t="str">
        <x:v>B-0036</x:v>
      </x:c>
      <x:c r="D37" s="19" t="str">
        <x:v>Baseline</x:v>
      </x:c>
      <x:c r="E37" s="19" t="str">
        <x:v>Installed /Applications/Sessions.app 0.0.0-local (1); executable sha256 bb850395a607edc80f4cb0d74d5de73843bf3960eff2fb69b1e7653c3717b9ff</x:v>
      </x:c>
      <x:c r="F37" s="19" t="str">
        <x:v>macOS 26.5.2 (25F84), arm64, production PID 53535, displays asleep, no recording/settings/data mutation</x:v>
      </x:c>
      <x:c r="G37" s="19" t="str">
        <x:v>No session is selected.</x:v>
      </x:c>
      <x:c r="H37" s="19" t="str">
        <x:v>Behavior was not executed against production because it requires recording, permissions, file access, destructive data, an awake display, seeded isolated state, or a reachable accessibility tree.</x:v>
      </x:c>
      <x:c r="I37" s="19" t="str">
        <x:v>No session open appears.</x:v>
      </x:c>
      <x:c r="J37" s="19" t="str">
        <x:v>Blocked by the frozen production-baseline safety boundary or environment; no pass is inferred from source.</x:v>
      </x:c>
      <x:c r="K37" s="19" t="str">
        <x:v>Blocked</x:v>
      </x:c>
      <x:c r="L37" s="19" t="str">
        <x:v>/tmp/cepessa-sessions-production-qa/04-window-inventory.txt</x:v>
      </x:c>
      <x:c r="M37" s="19" t="str">
        <x:v>Codex runtime lane</x:v>
      </x:c>
      <x:c r="N37" s="19" t="n">
        <x:v>46230.21527777778</x:v>
      </x:c>
      <x:c r="O37" s="19" t="str">
        <x:v>Preserved as blocked; must be rerun in the isolated dev app after the refactor.</x:v>
      </x:c>
    </x:row>
    <x:row r="38" ht="72" customHeight="1">
      <x:c r="A38" s="19" t="str">
        <x:v>T-0037</x:v>
      </x:c>
      <x:c r="B38" s="19" t="str">
        <x:v>RUN-20260727-01</x:v>
      </x:c>
      <x:c r="C38" s="19" t="str">
        <x:v>B-0037</x:v>
      </x:c>
      <x:c r="D38" s="19" t="str">
        <x:v>Baseline</x:v>
      </x:c>
      <x:c r="E38" s="19" t="str">
        <x:v>Installed /Applications/Sessions.app 0.0.0-local (1); executable sha256 bb850395a607edc80f4cb0d74d5de73843bf3960eff2fb69b1e7653c3717b9ff</x:v>
      </x:c>
      <x:c r="F38" s="19" t="str">
        <x:v>macOS 26.5.2 (25F84), arm64, production PID 53535, displays asleep, no recording/settings/data mutation</x:v>
      </x:c>
      <x:c r="G38" s="19" t="str">
        <x:v>The selected session has no transcript text.</x:v>
      </x:c>
      <x:c r="H38" s="19" t="str">
        <x:v>Behavior was not executed against production because it requires recording, permissions, file access, destructive data, an awake display, seeded isolated state, or a reachable accessibility tree.</x:v>
      </x:c>
      <x:c r="I38" s="19" t="str">
        <x:v>Transcript not ready directs the user to Transcribe.</x:v>
      </x:c>
      <x:c r="J38" s="19" t="str">
        <x:v>Blocked by the frozen production-baseline safety boundary or environment; no pass is inferred from source.</x:v>
      </x:c>
      <x:c r="K38" s="19" t="str">
        <x:v>Blocked</x:v>
      </x:c>
      <x:c r="L38" s="19" t="str">
        <x:v>/tmp/cepessa-sessions-production-qa/04-window-inventory.txt</x:v>
      </x:c>
      <x:c r="M38" s="19" t="str">
        <x:v>Codex runtime lane</x:v>
      </x:c>
      <x:c r="N38" s="19" t="n">
        <x:v>46230.21527777778</x:v>
      </x:c>
      <x:c r="O38" s="19" t="str">
        <x:v>Preserved as blocked; must be rerun in the isolated dev app after the refactor.</x:v>
      </x:c>
    </x:row>
    <x:row r="39" ht="72" customHeight="1">
      <x:c r="A39" s="19" t="str">
        <x:v>T-0038</x:v>
      </x:c>
      <x:c r="B39" s="19" t="str">
        <x:v>RUN-20260727-01</x:v>
      </x:c>
      <x:c r="C39" s="19" t="str">
        <x:v>B-0038</x:v>
      </x:c>
      <x:c r="D39" s="19" t="str">
        <x:v>Baseline</x:v>
      </x:c>
      <x:c r="E39" s="19" t="str">
        <x:v>Installed /Applications/Sessions.app 0.0.0-local (1); executable sha256 bb850395a607edc80f4cb0d74d5de73843bf3960eff2fb69b1e7653c3717b9ff</x:v>
      </x:c>
      <x:c r="F39" s="19" t="str">
        <x:v>macOS 26.5.2 (25F84), arm64, production PID 53535, displays asleep, no recording/settings/data mutation</x:v>
      </x:c>
      <x:c r="G39" s="19" t="str">
        <x:v>The selected session has transcript segments.</x:v>
      </x:c>
      <x:c r="H39" s="19" t="str">
        <x:v>Behavior was not executed against production because it requires recording, permissions, file access, destructive data, an awake display, seeded isolated state, or a reachable accessibility tree.</x:v>
      </x:c>
      <x:c r="I39" s="19" t="str">
        <x:v>Each block shows speaker, relative time, and selectable text.</x:v>
      </x:c>
      <x:c r="J39" s="19" t="str">
        <x:v>Blocked by the frozen production-baseline safety boundary or environment; no pass is inferred from source.</x:v>
      </x:c>
      <x:c r="K39" s="19" t="str">
        <x:v>Blocked</x:v>
      </x:c>
      <x:c r="L39" s="19" t="str">
        <x:v>/tmp/cepessa-sessions-production-qa/04-window-inventory.txt</x:v>
      </x:c>
      <x:c r="M39" s="19" t="str">
        <x:v>Codex runtime lane</x:v>
      </x:c>
      <x:c r="N39" s="19" t="n">
        <x:v>46230.21527777778</x:v>
      </x:c>
      <x:c r="O39" s="19" t="str">
        <x:v>Preserved as blocked; must be rerun in the isolated dev app after the refactor.</x:v>
      </x:c>
    </x:row>
    <x:row r="40" ht="72" customHeight="1">
      <x:c r="A40" s="19" t="str">
        <x:v>T-0039</x:v>
      </x:c>
      <x:c r="B40" s="19" t="str">
        <x:v>RUN-20260727-01</x:v>
      </x:c>
      <x:c r="C40" s="19" t="str">
        <x:v>B-0039</x:v>
      </x:c>
      <x:c r="D40" s="19" t="str">
        <x:v>Baseline</x:v>
      </x:c>
      <x:c r="E40" s="19" t="str">
        <x:v>Installed /Applications/Sessions.app 0.0.0-local (1); executable sha256 bb850395a607edc80f4cb0d74d5de73843bf3960eff2fb69b1e7653c3717b9ff</x:v>
      </x:c>
      <x:c r="F40" s="19" t="str">
        <x:v>macOS 26.5.2 (25F84), arm64, production PID 53535, displays asleep, no recording/settings/data mutation</x:v>
      </x:c>
      <x:c r="G40" s="19" t="str">
        <x:v>The timeline contains an image attachment.</x:v>
      </x:c>
      <x:c r="H40" s="19" t="str">
        <x:v>Behavior was not executed against production because it requires recording, permissions, file access, destructive data, an awake display, seeded isolated state, or a reachable accessibility tree.</x:v>
      </x:c>
      <x:c r="I40" s="19" t="str">
        <x:v>An enlarged image overlay appears.</x:v>
      </x:c>
      <x:c r="J40" s="19" t="str">
        <x:v>Blocked by the frozen production-baseline safety boundary or environment; no pass is inferred from source.</x:v>
      </x:c>
      <x:c r="K40" s="19" t="str">
        <x:v>Blocked</x:v>
      </x:c>
      <x:c r="L40" s="19" t="str">
        <x:v>/tmp/cepessa-sessions-production-qa/04-window-inventory.txt</x:v>
      </x:c>
      <x:c r="M40" s="19" t="str">
        <x:v>Codex runtime lane</x:v>
      </x:c>
      <x:c r="N40" s="19" t="n">
        <x:v>46230.21527777778</x:v>
      </x:c>
      <x:c r="O40" s="19" t="str">
        <x:v>Preserved as blocked; must be rerun in the isolated dev app after the refactor.</x:v>
      </x:c>
    </x:row>
    <x:row r="41" ht="72" customHeight="1">
      <x:c r="A41" s="19" t="str">
        <x:v>T-0040</x:v>
      </x:c>
      <x:c r="B41" s="19" t="str">
        <x:v>RUN-20260727-01</x:v>
      </x:c>
      <x:c r="C41" s="19" t="str">
        <x:v>B-0040</x:v>
      </x:c>
      <x:c r="D41" s="19" t="str">
        <x:v>Baseline</x:v>
      </x:c>
      <x:c r="E41" s="19" t="str">
        <x:v>Installed /Applications/Sessions.app 0.0.0-local (1); executable sha256 bb850395a607edc80f4cb0d74d5de73843bf3960eff2fb69b1e7653c3717b9ff</x:v>
      </x:c>
      <x:c r="F41" s="19" t="str">
        <x:v>macOS 26.5.2 (25F84), arm64, production PID 53535, displays asleep, no recording/settings/data mutation</x:v>
      </x:c>
      <x:c r="G41" s="19" t="str">
        <x:v>The enlarged image overlay is open.</x:v>
      </x:c>
      <x:c r="H41" s="19" t="str">
        <x:v>Behavior was not executed against production because it requires recording, permissions, file access, destructive data, an awake display, seeded isolated state, or a reachable accessibility tree.</x:v>
      </x:c>
      <x:c r="I41" s="19" t="str">
        <x:v>The overlay closes.</x:v>
      </x:c>
      <x:c r="J41" s="19" t="str">
        <x:v>Blocked by the frozen production-baseline safety boundary or environment; no pass is inferred from source.</x:v>
      </x:c>
      <x:c r="K41" s="19" t="str">
        <x:v>Blocked</x:v>
      </x:c>
      <x:c r="L41" s="19" t="str">
        <x:v>/tmp/cepessa-sessions-production-qa/04-window-inventory.txt</x:v>
      </x:c>
      <x:c r="M41" s="19" t="str">
        <x:v>Codex runtime lane</x:v>
      </x:c>
      <x:c r="N41" s="19" t="n">
        <x:v>46230.21527777778</x:v>
      </x:c>
      <x:c r="O41" s="19" t="str">
        <x:v>Preserved as blocked; must be rerun in the isolated dev app after the refactor.</x:v>
      </x:c>
    </x:row>
    <x:row r="42" ht="72" customHeight="1">
      <x:c r="A42" s="19" t="str">
        <x:v>T-0041</x:v>
      </x:c>
      <x:c r="B42" s="19" t="str">
        <x:v>RUN-20260727-01</x:v>
      </x:c>
      <x:c r="C42" s="19" t="str">
        <x:v>B-0041</x:v>
      </x:c>
      <x:c r="D42" s="19" t="str">
        <x:v>Baseline</x:v>
      </x:c>
      <x:c r="E42" s="19" t="str">
        <x:v>Installed /Applications/Sessions.app 0.0.0-local (1); executable sha256 bb850395a607edc80f4cb0d74d5de73843bf3960eff2fb69b1e7653c3717b9ff</x:v>
      </x:c>
      <x:c r="F42" s="19" t="str">
        <x:v>macOS 26.5.2 (25F84), arm64, production PID 53535, displays asleep, no recording/settings/data mutation</x:v>
      </x:c>
      <x:c r="G42" s="19" t="str">
        <x:v>The reading window is open.</x:v>
      </x:c>
      <x:c r="H42" s="19" t="str">
        <x:v>Behavior was not executed against production because it requires recording, permissions, file access, destructive data, an awake display, seeded isolated state, or a reachable accessibility tree.</x:v>
      </x:c>
      <x:c r="I42" s="19" t="str">
        <x:v>Scale clamps to 0.7 through 2.2 and persists.</x:v>
      </x:c>
      <x:c r="J42" s="19" t="str">
        <x:v>Blocked by the frozen production-baseline safety boundary or environment; no pass is inferred from source.</x:v>
      </x:c>
      <x:c r="K42" s="19" t="str">
        <x:v>Blocked</x:v>
      </x:c>
      <x:c r="L42" s="19" t="str">
        <x:v>/tmp/cepessa-sessions-production-qa/04-window-inventory.txt</x:v>
      </x:c>
      <x:c r="M42" s="19" t="str">
        <x:v>Codex runtime lane</x:v>
      </x:c>
      <x:c r="N42" s="19" t="n">
        <x:v>46230.21527777778</x:v>
      </x:c>
      <x:c r="O42" s="19" t="str">
        <x:v>Preserved as blocked; must be rerun in the isolated dev app after the refactor.</x:v>
      </x:c>
    </x:row>
    <x:row r="43" ht="72" customHeight="1">
      <x:c r="A43" s="19" t="str">
        <x:v>T-0042</x:v>
      </x:c>
      <x:c r="B43" s="19" t="str">
        <x:v>RUN-20260727-01</x:v>
      </x:c>
      <x:c r="C43" s="19" t="str">
        <x:v>B-0042</x:v>
      </x:c>
      <x:c r="D43" s="19" t="str">
        <x:v>Baseline</x:v>
      </x:c>
      <x:c r="E43" s="19" t="str">
        <x:v>Installed /Applications/Sessions.app 0.0.0-local (1); executable sha256 bb850395a607edc80f4cb0d74d5de73843bf3960eff2fb69b1e7653c3717b9ff</x:v>
      </x:c>
      <x:c r="F43" s="19" t="str">
        <x:v>macOS 26.5.2 (25F84), arm64, production PID 53535, displays asleep, no recording/settings/data mutation</x:v>
      </x:c>
      <x:c r="G43" s="19" t="str">
        <x:v>No stored sessions exist.</x:v>
      </x:c>
      <x:c r="H43" s="19" t="str">
        <x:v>Behavior was not executed against production because it requires recording, permissions, file access, destructive data, an awake display, seeded isolated state, or a reachable accessibility tree.</x:v>
      </x:c>
      <x:c r="I43" s="19" t="str">
        <x:v>A disabled No sessions yet row appears.</x:v>
      </x:c>
      <x:c r="J43" s="19" t="str">
        <x:v>Blocked by the frozen production-baseline safety boundary or environment; no pass is inferred from source.</x:v>
      </x:c>
      <x:c r="K43" s="19" t="str">
        <x:v>Blocked</x:v>
      </x:c>
      <x:c r="L43" s="19" t="str">
        <x:v>/tmp/cepessa-sessions-production-qa/04-window-inventory.txt</x:v>
      </x:c>
      <x:c r="M43" s="19" t="str">
        <x:v>Codex runtime lane</x:v>
      </x:c>
      <x:c r="N43" s="19" t="n">
        <x:v>46230.21527777778</x:v>
      </x:c>
      <x:c r="O43" s="19" t="str">
        <x:v>Preserved as blocked; must be rerun in the isolated dev app after the refactor.</x:v>
      </x:c>
    </x:row>
    <x:row r="44" ht="72" customHeight="1">
      <x:c r="A44" s="19" t="str">
        <x:v>T-0043</x:v>
      </x:c>
      <x:c r="B44" s="19" t="str">
        <x:v>RUN-20260727-01</x:v>
      </x:c>
      <x:c r="C44" s="19" t="str">
        <x:v>B-0043</x:v>
      </x:c>
      <x:c r="D44" s="19" t="str">
        <x:v>Baseline</x:v>
      </x:c>
      <x:c r="E44" s="19" t="str">
        <x:v>Installed /Applications/Sessions.app 0.0.0-local (1); executable sha256 bb850395a607edc80f4cb0d74d5de73843bf3960eff2fb69b1e7653c3717b9ff</x:v>
      </x:c>
      <x:c r="F44" s="19" t="str">
        <x:v>macOS 26.5.2 (25F84), arm64, production PID 53535, displays asleep, no recording/settings/data mutation</x:v>
      </x:c>
      <x:c r="G44" s="19" t="str">
        <x:v>Stored sessions exist.</x:v>
      </x:c>
      <x:c r="H44" s="19" t="str">
        <x:v>Behavior was not executed against production because it requires recording, permissions, file access, destructive data, an awake display, seeded isolated state, or a reachable accessibility tree.</x:v>
      </x:c>
      <x:c r="I44" s="19" t="str">
        <x:v>Selection and transcript content switch.</x:v>
      </x:c>
      <x:c r="J44" s="19" t="str">
        <x:v>Blocked by the frozen production-baseline safety boundary or environment; no pass is inferred from source.</x:v>
      </x:c>
      <x:c r="K44" s="19" t="str">
        <x:v>Blocked</x:v>
      </x:c>
      <x:c r="L44" s="19" t="str">
        <x:v>/tmp/cepessa-sessions-production-qa/04-window-inventory.txt</x:v>
      </x:c>
      <x:c r="M44" s="19" t="str">
        <x:v>Codex runtime lane</x:v>
      </x:c>
      <x:c r="N44" s="19" t="n">
        <x:v>46230.21527777778</x:v>
      </x:c>
      <x:c r="O44" s="19" t="str">
        <x:v>Preserved as blocked; must be rerun in the isolated dev app after the refactor.</x:v>
      </x:c>
    </x:row>
    <x:row r="45" ht="72" customHeight="1">
      <x:c r="A45" s="19" t="str">
        <x:v>T-0044</x:v>
      </x:c>
      <x:c r="B45" s="19" t="str">
        <x:v>RUN-20260727-01</x:v>
      </x:c>
      <x:c r="C45" s="19" t="str">
        <x:v>B-0044</x:v>
      </x:c>
      <x:c r="D45" s="19" t="str">
        <x:v>Baseline</x:v>
      </x:c>
      <x:c r="E45" s="19" t="str">
        <x:v>Installed /Applications/Sessions.app 0.0.0-local (1); executable sha256 bb850395a607edc80f4cb0d74d5de73843bf3960eff2fb69b1e7653c3717b9ff</x:v>
      </x:c>
      <x:c r="F45" s="19" t="str">
        <x:v>macOS 26.5.2 (25F84), arm64, production PID 53535, displays asleep, no recording/settings/data mutation</x:v>
      </x:c>
      <x:c r="G45" s="19" t="str">
        <x:v>The reader toolbar is visible.</x:v>
      </x:c>
      <x:c r="H45" s="19" t="str">
        <x:v>Behavior was not executed against production because it requires recording, permissions, file access, destructive data, an awake display, seeded isolated state, or a reachable accessibility tree.</x:v>
      </x:c>
      <x:c r="I45" s="19" t="str">
        <x:v>No non-functional document-language selector is presented.</x:v>
      </x:c>
      <x:c r="J45" s="19" t="str">
        <x:v>Blocked by the frozen production-baseline safety boundary or environment; no pass is inferred from source.</x:v>
      </x:c>
      <x:c r="K45" s="19" t="str">
        <x:v>Blocked</x:v>
      </x:c>
      <x:c r="L45" s="19" t="str">
        <x:v>/tmp/cepessa-sessions-production-qa/04-window-inventory.txt</x:v>
      </x:c>
      <x:c r="M45" s="19" t="str">
        <x:v>Codex runtime lane</x:v>
      </x:c>
      <x:c r="N45" s="19" t="n">
        <x:v>46230.21527777778</x:v>
      </x:c>
      <x:c r="O45" s="19" t="str">
        <x:v>Preserved as blocked; must be rerun in the isolated dev app after the refactor.</x:v>
      </x:c>
    </x:row>
    <x:row r="46" ht="72" customHeight="1">
      <x:c r="A46" s="19" t="str">
        <x:v>T-0045</x:v>
      </x:c>
      <x:c r="B46" s="19" t="str">
        <x:v>RUN-20260727-01</x:v>
      </x:c>
      <x:c r="C46" s="19" t="str">
        <x:v>B-0045</x:v>
      </x:c>
      <x:c r="D46" s="19" t="str">
        <x:v>Baseline</x:v>
      </x:c>
      <x:c r="E46" s="19" t="str">
        <x:v>Installed /Applications/Sessions.app 0.0.0-local (1); executable sha256 bb850395a607edc80f4cb0d74d5de73843bf3960eff2fb69b1e7653c3717b9ff</x:v>
      </x:c>
      <x:c r="F46" s="19" t="str">
        <x:v>macOS 26.5.2 (25F84), arm64, production PID 53535, displays asleep, no recording/settings/data mutation</x:v>
      </x:c>
      <x:c r="G46" s="19" t="str">
        <x:v>The selected session has retained audio and is idle.</x:v>
      </x:c>
      <x:c r="H46" s="19" t="str">
        <x:v>Behavior was not executed against production because it requires recording, permissions, file access, destructive data, an awake display, seeded isolated state, or a reachable accessibility tree.</x:v>
      </x:c>
      <x:c r="I46" s="19" t="str">
        <x:v>A fresh local transcription starts.</x:v>
      </x:c>
      <x:c r="J46" s="19" t="str">
        <x:v>Blocked by the frozen production-baseline safety boundary or environment; no pass is inferred from source.</x:v>
      </x:c>
      <x:c r="K46" s="19" t="str">
        <x:v>Blocked</x:v>
      </x:c>
      <x:c r="L46" s="19" t="str">
        <x:v>/tmp/cepessa-sessions-production-qa/04-window-inventory.txt</x:v>
      </x:c>
      <x:c r="M46" s="19" t="str">
        <x:v>Codex runtime lane</x:v>
      </x:c>
      <x:c r="N46" s="19" t="n">
        <x:v>46230.21527777778</x:v>
      </x:c>
      <x:c r="O46" s="19" t="str">
        <x:v>Preserved as blocked; must be rerun in the isolated dev app after the refactor.</x:v>
      </x:c>
    </x:row>
    <x:row r="47" ht="72" customHeight="1">
      <x:c r="A47" s="19" t="str">
        <x:v>T-0046</x:v>
      </x:c>
      <x:c r="B47" s="19" t="str">
        <x:v>RUN-20260727-01</x:v>
      </x:c>
      <x:c r="C47" s="19" t="str">
        <x:v>B-0046</x:v>
      </x:c>
      <x:c r="D47" s="19" t="str">
        <x:v>Baseline</x:v>
      </x:c>
      <x:c r="E47" s="19" t="str">
        <x:v>Installed /Applications/Sessions.app 0.0.0-local (1); executable sha256 bb850395a607edc80f4cb0d74d5de73843bf3960eff2fb69b1e7653c3717b9ff</x:v>
      </x:c>
      <x:c r="F47" s="19" t="str">
        <x:v>macOS 26.5.2 (25F84), arm64, production PID 53535, displays asleep, no recording/settings/data mutation</x:v>
      </x:c>
      <x:c r="G47" s="19" t="str">
        <x:v>The selected session lacks audio or is already processing.</x:v>
      </x:c>
      <x:c r="H47" s="19" t="str">
        <x:v>Behavior was not executed against production because it requires recording, permissions, file access, destructive data, an awake display, seeded isolated state, or a reachable accessibility tree.</x:v>
      </x:c>
      <x:c r="I47" s="19" t="str">
        <x:v>Transcribe is disabled.</x:v>
      </x:c>
      <x:c r="J47" s="19" t="str">
        <x:v>Blocked by the frozen production-baseline safety boundary or environment; no pass is inferred from source.</x:v>
      </x:c>
      <x:c r="K47" s="19" t="str">
        <x:v>Blocked</x:v>
      </x:c>
      <x:c r="L47" s="19" t="str">
        <x:v>/tmp/cepessa-sessions-production-qa/04-window-inventory.txt</x:v>
      </x:c>
      <x:c r="M47" s="19" t="str">
        <x:v>Codex runtime lane</x:v>
      </x:c>
      <x:c r="N47" s="19" t="n">
        <x:v>46230.21527777778</x:v>
      </x:c>
      <x:c r="O47" s="19" t="str">
        <x:v>Preserved as blocked; must be rerun in the isolated dev app after the refactor.</x:v>
      </x:c>
    </x:row>
    <x:row r="48" ht="72" customHeight="1">
      <x:c r="A48" s="19" t="str">
        <x:v>T-0047</x:v>
      </x:c>
      <x:c r="B48" s="19" t="str">
        <x:v>RUN-20260727-01</x:v>
      </x:c>
      <x:c r="C48" s="19" t="str">
        <x:v>B-0047</x:v>
      </x:c>
      <x:c r="D48" s="19" t="str">
        <x:v>Baseline</x:v>
      </x:c>
      <x:c r="E48" s="19" t="str">
        <x:v>Installed /Applications/Sessions.app 0.0.0-local (1); executable sha256 bb850395a607edc80f4cb0d74d5de73843bf3960eff2fb69b1e7653c3717b9ff</x:v>
      </x:c>
      <x:c r="F48" s="19" t="str">
        <x:v>macOS 26.5.2 (25F84), arm64, production PID 53535, displays asleep, no recording/settings/data mutation</x:v>
      </x:c>
      <x:c r="G48" s="19" t="str">
        <x:v>The selected session has a non-empty transcript.</x:v>
      </x:c>
      <x:c r="H48" s="19" t="str">
        <x:v>Behavior was not executed against production because it requires recording, permissions, file access, destructive data, an awake display, seeded isolated state, or a reachable accessibility tree.</x:v>
      </x:c>
      <x:c r="I48" s="19" t="str">
        <x:v>A Markdown transcript is written.</x:v>
      </x:c>
      <x:c r="J48" s="19" t="str">
        <x:v>Blocked by the frozen production-baseline safety boundary or environment; no pass is inferred from source.</x:v>
      </x:c>
      <x:c r="K48" s="19" t="str">
        <x:v>Blocked</x:v>
      </x:c>
      <x:c r="L48" s="19" t="str">
        <x:v>/tmp/cepessa-sessions-production-qa/04-window-inventory.txt</x:v>
      </x:c>
      <x:c r="M48" s="19" t="str">
        <x:v>Codex runtime lane</x:v>
      </x:c>
      <x:c r="N48" s="19" t="n">
        <x:v>46230.21527777778</x:v>
      </x:c>
      <x:c r="O48" s="19" t="str">
        <x:v>Preserved as blocked; must be rerun in the isolated dev app after the refactor.</x:v>
      </x:c>
    </x:row>
    <x:row r="49" ht="72" customHeight="1">
      <x:c r="A49" s="19" t="str">
        <x:v>T-0048</x:v>
      </x:c>
      <x:c r="B49" s="19" t="str">
        <x:v>RUN-20260727-01</x:v>
      </x:c>
      <x:c r="C49" s="19" t="str">
        <x:v>B-0048</x:v>
      </x:c>
      <x:c r="D49" s="19" t="str">
        <x:v>Baseline</x:v>
      </x:c>
      <x:c r="E49" s="19" t="str">
        <x:v>Installed /Applications/Sessions.app 0.0.0-local (1); executable sha256 bb850395a607edc80f4cb0d74d5de73843bf3960eff2fb69b1e7653c3717b9ff</x:v>
      </x:c>
      <x:c r="F49" s="19" t="str">
        <x:v>macOS 26.5.2 (25F84), arm64, production PID 53535, displays asleep, no recording/settings/data mutation</x:v>
      </x:c>
      <x:c r="G49" s="19" t="str">
        <x:v>The export destination cannot be written.</x:v>
      </x:c>
      <x:c r="H49" s="19" t="str">
        <x:v>Behavior was not executed against production because it requires recording, permissions, file access, destructive data, an awake display, seeded isolated state, or a reachable accessibility tree.</x:v>
      </x:c>
      <x:c r="I49" s="19" t="str">
        <x:v>Only a system beep reports failure.</x:v>
      </x:c>
      <x:c r="J49" s="19" t="str">
        <x:v>Blocked by the frozen production-baseline safety boundary or environment; no pass is inferred from source.</x:v>
      </x:c>
      <x:c r="K49" s="19" t="str">
        <x:v>Blocked</x:v>
      </x:c>
      <x:c r="L49" s="19" t="str">
        <x:v>/tmp/cepessa-sessions-production-qa/04-window-inventory.txt</x:v>
      </x:c>
      <x:c r="M49" s="19" t="str">
        <x:v>Codex runtime lane</x:v>
      </x:c>
      <x:c r="N49" s="19" t="n">
        <x:v>46230.21527777778</x:v>
      </x:c>
      <x:c r="O49" s="19" t="str">
        <x:v>Preserved as blocked; must be rerun in the isolated dev app after the refactor.</x:v>
      </x:c>
    </x:row>
    <x:row r="50" ht="72" customHeight="1">
      <x:c r="A50" s="19" t="str">
        <x:v>T-0049</x:v>
      </x:c>
      <x:c r="B50" s="19" t="str">
        <x:v>RUN-20260727-01</x:v>
      </x:c>
      <x:c r="C50" s="19" t="str">
        <x:v>B-0049</x:v>
      </x:c>
      <x:c r="D50" s="19" t="str">
        <x:v>Baseline</x:v>
      </x:c>
      <x:c r="E50" s="19" t="str">
        <x:v>Installed /Applications/Sessions.app 0.0.0-local (1); executable sha256 bb850395a607edc80f4cb0d74d5de73843bf3960eff2fb69b1e7653c3717b9ff</x:v>
      </x:c>
      <x:c r="F50" s="19" t="str">
        <x:v>macOS 26.5.2 (25F84), arm64, production PID 53535, displays asleep, no recording/settings/data mutation</x:v>
      </x:c>
      <x:c r="G50" s="19" t="str">
        <x:v>No Clips exist in isolated storage.</x:v>
      </x:c>
      <x:c r="H50" s="19" t="str">
        <x:v>Behavior was not executed against production because it requires recording, permissions, file access, destructive data, an awake display, seeded isolated state, or a reachable accessibility tree.</x:v>
      </x:c>
      <x:c r="I50" s="19" t="str">
        <x:v>Empty-list and empty-inspector states appear.</x:v>
      </x:c>
      <x:c r="J50" s="19" t="str">
        <x:v>Blocked by the frozen production-baseline safety boundary or environment; no pass is inferred from source.</x:v>
      </x:c>
      <x:c r="K50" s="19" t="str">
        <x:v>Blocked</x:v>
      </x:c>
      <x:c r="L50" s="19" t="str">
        <x:v>/tmp/cepessa-sessions-production-qa/04-window-inventory.txt</x:v>
      </x:c>
      <x:c r="M50" s="19" t="str">
        <x:v>Codex runtime lane</x:v>
      </x:c>
      <x:c r="N50" s="19" t="n">
        <x:v>46230.21527777778</x:v>
      </x:c>
      <x:c r="O50" s="19" t="str">
        <x:v>Preserved as blocked; must be rerun in the isolated dev app after the refactor.</x:v>
      </x:c>
    </x:row>
    <x:row r="51" ht="72" customHeight="1">
      <x:c r="A51" s="19" t="str">
        <x:v>T-0050</x:v>
      </x:c>
      <x:c r="B51" s="19" t="str">
        <x:v>RUN-20260727-01</x:v>
      </x:c>
      <x:c r="C51" s="19" t="str">
        <x:v>B-0050</x:v>
      </x:c>
      <x:c r="D51" s="19" t="str">
        <x:v>Baseline</x:v>
      </x:c>
      <x:c r="E51" s="19" t="str">
        <x:v>Installed /Applications/Sessions.app 0.0.0-local (1); executable sha256 bb850395a607edc80f4cb0d74d5de73843bf3960eff2fb69b1e7653c3717b9ff</x:v>
      </x:c>
      <x:c r="F51" s="19" t="str">
        <x:v>macOS 26.5.2 (25F84), arm64, production PID 53535, displays asleep, no recording/settings/data mutation</x:v>
      </x:c>
      <x:c r="G51" s="19" t="str">
        <x:v>Stored Clips exist.</x:v>
      </x:c>
      <x:c r="H51" s="19" t="str">
        <x:v>Behavior was not executed against production because it requires recording, permissions, file access, destructive data, an awake display, seeded isolated state, or a reachable accessibility tree.</x:v>
      </x:c>
      <x:c r="I51" s="19" t="str">
        <x:v>The inspector and editable drafts switch to that Clip.</x:v>
      </x:c>
      <x:c r="J51" s="19" t="str">
        <x:v>Blocked by the frozen production-baseline safety boundary or environment; no pass is inferred from source.</x:v>
      </x:c>
      <x:c r="K51" s="19" t="str">
        <x:v>Blocked</x:v>
      </x:c>
      <x:c r="L51" s="19" t="str">
        <x:v>/tmp/cepessa-sessions-production-qa/04-window-inventory.txt</x:v>
      </x:c>
      <x:c r="M51" s="19" t="str">
        <x:v>Codex runtime lane</x:v>
      </x:c>
      <x:c r="N51" s="19" t="n">
        <x:v>46230.21527777778</x:v>
      </x:c>
      <x:c r="O51" s="19" t="str">
        <x:v>Preserved as blocked; must be rerun in the isolated dev app after the refactor.</x:v>
      </x:c>
    </x:row>
    <x:row r="52" ht="72" customHeight="1">
      <x:c r="A52" s="19" t="str">
        <x:v>T-0051</x:v>
      </x:c>
      <x:c r="B52" s="19" t="str">
        <x:v>RUN-20260727-01</x:v>
      </x:c>
      <x:c r="C52" s="19" t="str">
        <x:v>B-0051</x:v>
      </x:c>
      <x:c r="D52" s="19" t="str">
        <x:v>Baseline</x:v>
      </x:c>
      <x:c r="E52" s="19" t="str">
        <x:v>Installed /Applications/Sessions.app 0.0.0-local (1); executable sha256 bb850395a607edc80f4cb0d74d5de73843bf3960eff2fb69b1e7653c3717b9ff</x:v>
      </x:c>
      <x:c r="F52" s="19" t="str">
        <x:v>macOS 26.5.2 (25F84), arm64, production PID 53535, displays asleep, no recording/settings/data mutation</x:v>
      </x:c>
      <x:c r="G52" s="19" t="str">
        <x:v>Draft title and intent contain text.</x:v>
      </x:c>
      <x:c r="H52" s="19" t="str">
        <x:v>Behavior was not executed against production because it requires recording, permissions, file access, destructive data, an awake display, seeded isolated state, or a reachable accessibility tree.</x:v>
      </x:c>
      <x:c r="I52" s="19" t="str">
        <x:v>The normalized title and optional intent enter the manifest.</x:v>
      </x:c>
      <x:c r="J52" s="19" t="str">
        <x:v>Blocked by the frozen production-baseline safety boundary or environment; no pass is inferred from source.</x:v>
      </x:c>
      <x:c r="K52" s="19" t="str">
        <x:v>Blocked</x:v>
      </x:c>
      <x:c r="L52" s="19" t="str">
        <x:v>/tmp/cepessa-sessions-production-qa/04-window-inventory.txt</x:v>
      </x:c>
      <x:c r="M52" s="19" t="str">
        <x:v>Codex runtime lane</x:v>
      </x:c>
      <x:c r="N52" s="19" t="n">
        <x:v>46230.21527777778</x:v>
      </x:c>
      <x:c r="O52" s="19" t="str">
        <x:v>Preserved as blocked; must be rerun in the isolated dev app after the refactor.</x:v>
      </x:c>
    </x:row>
    <x:row r="53" ht="72" customHeight="1">
      <x:c r="A53" s="19" t="str">
        <x:v>T-0052</x:v>
      </x:c>
      <x:c r="B53" s="19" t="str">
        <x:v>RUN-20260727-01</x:v>
      </x:c>
      <x:c r="C53" s="19" t="str">
        <x:v>B-0052</x:v>
      </x:c>
      <x:c r="D53" s="19" t="str">
        <x:v>Baseline</x:v>
      </x:c>
      <x:c r="E53" s="19" t="str">
        <x:v>Installed /Applications/Sessions.app 0.0.0-local (1); executable sha256 bb850395a607edc80f4cb0d74d5de73843bf3960eff2fb69b1e7653c3717b9ff</x:v>
      </x:c>
      <x:c r="F53" s="19" t="str">
        <x:v>macOS 26.5.2 (25F84), arm64, production PID 53535, displays asleep, no recording/settings/data mutation</x:v>
      </x:c>
      <x:c r="G53" s="19" t="str">
        <x:v>No Clip recording is active.</x:v>
      </x:c>
      <x:c r="H53" s="19" t="str">
        <x:v>Behavior was not executed against production because it requires recording, permissions, file access, destructive data, an awake display, seeded isolated state, or a reachable accessibility tree.</x:v>
      </x:c>
      <x:c r="I53" s="19" t="str">
        <x:v>Screen and audio capture start, the timer runs, and the new Clip is selected.</x:v>
      </x:c>
      <x:c r="J53" s="19" t="str">
        <x:v>Blocked by the frozen production-baseline safety boundary or environment; no pass is inferred from source.</x:v>
      </x:c>
      <x:c r="K53" s="19" t="str">
        <x:v>Blocked</x:v>
      </x:c>
      <x:c r="L53" s="19" t="str">
        <x:v>/tmp/cepessa-sessions-production-qa/04-window-inventory.txt</x:v>
      </x:c>
      <x:c r="M53" s="19" t="str">
        <x:v>Codex runtime lane</x:v>
      </x:c>
      <x:c r="N53" s="19" t="n">
        <x:v>46230.21527777778</x:v>
      </x:c>
      <x:c r="O53" s="19" t="str">
        <x:v>Preserved as blocked; must be rerun in the isolated dev app after the refactor.</x:v>
      </x:c>
    </x:row>
    <x:row r="54" ht="72" customHeight="1">
      <x:c r="A54" s="19" t="str">
        <x:v>T-0053</x:v>
      </x:c>
      <x:c r="B54" s="19" t="str">
        <x:v>RUN-20260727-01</x:v>
      </x:c>
      <x:c r="C54" s="19" t="str">
        <x:v>B-0053</x:v>
      </x:c>
      <x:c r="D54" s="19" t="str">
        <x:v>Baseline</x:v>
      </x:c>
      <x:c r="E54" s="19" t="str">
        <x:v>Installed /Applications/Sessions.app 0.0.0-local (1); executable sha256 bb850395a607edc80f4cb0d74d5de73843bf3960eff2fb69b1e7653c3717b9ff</x:v>
      </x:c>
      <x:c r="F54" s="19" t="str">
        <x:v>macOS 26.5.2 (25F84), arm64, production PID 53535, displays asleep, no recording/settings/data mutation</x:v>
      </x:c>
      <x:c r="G54" s="19" t="str">
        <x:v>Clip capture startup will fail.</x:v>
      </x:c>
      <x:c r="H54" s="19" t="str">
        <x:v>Behavior was not executed against production because it requires recording, permissions, file access, destructive data, an awake display, seeded isolated state, or a reachable accessibility tree.</x:v>
      </x:c>
      <x:c r="I54" s="19" t="str">
        <x:v>The Clip is saved as failed and error text is shown.</x:v>
      </x:c>
      <x:c r="J54" s="19" t="str">
        <x:v>Blocked by the frozen production-baseline safety boundary or environment; no pass is inferred from source.</x:v>
      </x:c>
      <x:c r="K54" s="19" t="str">
        <x:v>Blocked</x:v>
      </x:c>
      <x:c r="L54" s="19" t="str">
        <x:v>/tmp/cepessa-sessions-production-qa/04-window-inventory.txt</x:v>
      </x:c>
      <x:c r="M54" s="19" t="str">
        <x:v>Codex runtime lane</x:v>
      </x:c>
      <x:c r="N54" s="19" t="n">
        <x:v>46230.21527777778</x:v>
      </x:c>
      <x:c r="O54" s="19" t="str">
        <x:v>Preserved as blocked; must be rerun in the isolated dev app after the refactor.</x:v>
      </x:c>
    </x:row>
    <x:row r="55" ht="72" customHeight="1">
      <x:c r="A55" s="19" t="str">
        <x:v>T-0054</x:v>
      </x:c>
      <x:c r="B55" s="19" t="str">
        <x:v>RUN-20260727-01</x:v>
      </x:c>
      <x:c r="C55" s="19" t="str">
        <x:v>B-0054</x:v>
      </x:c>
      <x:c r="D55" s="19" t="str">
        <x:v>Baseline</x:v>
      </x:c>
      <x:c r="E55" s="19" t="str">
        <x:v>Installed /Applications/Sessions.app 0.0.0-local (1); executable sha256 bb850395a607edc80f4cb0d74d5de73843bf3960eff2fb69b1e7653c3717b9ff</x:v>
      </x:c>
      <x:c r="F55" s="19" t="str">
        <x:v>macOS 26.5.2 (25F84), arm64, production PID 53535, displays asleep, no recording/settings/data mutation</x:v>
      </x:c>
      <x:c r="G55" s="19" t="str">
        <x:v>Clip recording is active.</x:v>
      </x:c>
      <x:c r="H55" s="19" t="str">
        <x:v>Behavior was not executed against production because it requires recording, permissions, file access, destructive data, an awake display, seeded isolated state, or a reachable accessibility tree.</x:v>
      </x:c>
      <x:c r="I55" s="19" t="str">
        <x:v>Capture stops and transcript processing starts.</x:v>
      </x:c>
      <x:c r="J55" s="19" t="str">
        <x:v>Blocked by the frozen production-baseline safety boundary or environment; no pass is inferred from source.</x:v>
      </x:c>
      <x:c r="K55" s="19" t="str">
        <x:v>Blocked</x:v>
      </x:c>
      <x:c r="L55" s="19" t="str">
        <x:v>/tmp/cepessa-sessions-production-qa/04-window-inventory.txt</x:v>
      </x:c>
      <x:c r="M55" s="19" t="str">
        <x:v>Codex runtime lane</x:v>
      </x:c>
      <x:c r="N55" s="19" t="n">
        <x:v>46230.21527777778</x:v>
      </x:c>
      <x:c r="O55" s="19" t="str">
        <x:v>Preserved as blocked; must be rerun in the isolated dev app after the refactor.</x:v>
      </x:c>
    </x:row>
    <x:row r="56" ht="72" customHeight="1">
      <x:c r="A56" s="19" t="str">
        <x:v>T-0055</x:v>
      </x:c>
      <x:c r="B56" s="19" t="str">
        <x:v>RUN-20260727-01</x:v>
      </x:c>
      <x:c r="C56" s="19" t="str">
        <x:v>B-0055</x:v>
      </x:c>
      <x:c r="D56" s="19" t="str">
        <x:v>Baseline</x:v>
      </x:c>
      <x:c r="E56" s="19" t="str">
        <x:v>Installed /Applications/Sessions.app 0.0.0-local (1); executable sha256 bb850395a607edc80f4cb0d74d5de73843bf3960eff2fb69b1e7653c3717b9ff</x:v>
      </x:c>
      <x:c r="F56" s="19" t="str">
        <x:v>macOS 26.5.2 (25F84), arm64, production PID 53535, displays asleep, no recording/settings/data mutation</x:v>
      </x:c>
      <x:c r="G56" s="19" t="str">
        <x:v>Clip audio exists and transcription succeeds.</x:v>
      </x:c>
      <x:c r="H56" s="19" t="str">
        <x:v>Behavior was not executed against production because it requires recording, permissions, file access, destructive data, an awake display, seeded isolated state, or a reachable accessibility tree.</x:v>
      </x:c>
      <x:c r="I56" s="19" t="str">
        <x:v>The Clip becomes ready with transcript segments and an inferred title.</x:v>
      </x:c>
      <x:c r="J56" s="19" t="str">
        <x:v>Blocked by the frozen production-baseline safety boundary or environment; no pass is inferred from source.</x:v>
      </x:c>
      <x:c r="K56" s="19" t="str">
        <x:v>Blocked</x:v>
      </x:c>
      <x:c r="L56" s="19" t="str">
        <x:v>/tmp/cepessa-sessions-production-qa/04-window-inventory.txt</x:v>
      </x:c>
      <x:c r="M56" s="19" t="str">
        <x:v>Codex runtime lane</x:v>
      </x:c>
      <x:c r="N56" s="19" t="n">
        <x:v>46230.21527777778</x:v>
      </x:c>
      <x:c r="O56" s="19" t="str">
        <x:v>Preserved as blocked; must be rerun in the isolated dev app after the refactor.</x:v>
      </x:c>
    </x:row>
    <x:row r="57" ht="72" customHeight="1">
      <x:c r="A57" s="19" t="str">
        <x:v>T-0056</x:v>
      </x:c>
      <x:c r="B57" s="19" t="str">
        <x:v>RUN-20260727-01</x:v>
      </x:c>
      <x:c r="C57" s="19" t="str">
        <x:v>B-0056</x:v>
      </x:c>
      <x:c r="D57" s="19" t="str">
        <x:v>Baseline</x:v>
      </x:c>
      <x:c r="E57" s="19" t="str">
        <x:v>Installed /Applications/Sessions.app 0.0.0-local (1); executable sha256 bb850395a607edc80f4cb0d74d5de73843bf3960eff2fb69b1e7653c3717b9ff</x:v>
      </x:c>
      <x:c r="F57" s="19" t="str">
        <x:v>macOS 26.5.2 (25F84), arm64, production PID 53535, displays asleep, no recording/settings/data mutation</x:v>
      </x:c>
      <x:c r="G57" s="19" t="str">
        <x:v>No Clip audio is available.</x:v>
      </x:c>
      <x:c r="H57" s="19" t="str">
        <x:v>Behavior was not executed against production because it requires recording, permissions, file access, destructive data, an awake display, seeded isolated state, or a reachable accessibility tree.</x:v>
      </x:c>
      <x:c r="I57" s="19" t="str">
        <x:v>The Clip becomes ready with an explicit no-transcript error.</x:v>
      </x:c>
      <x:c r="J57" s="19" t="str">
        <x:v>Blocked by the frozen production-baseline safety boundary or environment; no pass is inferred from source.</x:v>
      </x:c>
      <x:c r="K57" s="19" t="str">
        <x:v>Blocked</x:v>
      </x:c>
      <x:c r="L57" s="19" t="str">
        <x:v>/tmp/cepessa-sessions-production-qa/04-window-inventory.txt</x:v>
      </x:c>
      <x:c r="M57" s="19" t="str">
        <x:v>Codex runtime lane</x:v>
      </x:c>
      <x:c r="N57" s="19" t="n">
        <x:v>46230.21527777778</x:v>
      </x:c>
      <x:c r="O57" s="19" t="str">
        <x:v>Preserved as blocked; must be rerun in the isolated dev app after the refactor.</x:v>
      </x:c>
    </x:row>
    <x:row r="58" ht="72" customHeight="1">
      <x:c r="A58" s="19" t="str">
        <x:v>T-0057</x:v>
      </x:c>
      <x:c r="B58" s="19" t="str">
        <x:v>RUN-20260727-01</x:v>
      </x:c>
      <x:c r="C58" s="19" t="str">
        <x:v>B-0057</x:v>
      </x:c>
      <x:c r="D58" s="19" t="str">
        <x:v>Baseline</x:v>
      </x:c>
      <x:c r="E58" s="19" t="str">
        <x:v>Installed /Applications/Sessions.app 0.0.0-local (1); executable sha256 bb850395a607edc80f4cb0d74d5de73843bf3960eff2fb69b1e7653c3717b9ff</x:v>
      </x:c>
      <x:c r="F58" s="19" t="str">
        <x:v>macOS 26.5.2 (25F84), arm64, production PID 53535, displays asleep, no recording/settings/data mutation</x:v>
      </x:c>
      <x:c r="G58" s="19" t="str">
        <x:v>Clip transcription will fail.</x:v>
      </x:c>
      <x:c r="H58" s="19" t="str">
        <x:v>Behavior was not executed against production because it requires recording, permissions, file access, destructive data, an awake display, seeded isolated state, or a reachable accessibility tree.</x:v>
      </x:c>
      <x:c r="I58" s="19" t="str">
        <x:v>The Clip becomes ready with a transcription-failed error.</x:v>
      </x:c>
      <x:c r="J58" s="19" t="str">
        <x:v>Blocked by the frozen production-baseline safety boundary or environment; no pass is inferred from source.</x:v>
      </x:c>
      <x:c r="K58" s="19" t="str">
        <x:v>Blocked</x:v>
      </x:c>
      <x:c r="L58" s="19" t="str">
        <x:v>/tmp/cepessa-sessions-production-qa/04-window-inventory.txt</x:v>
      </x:c>
      <x:c r="M58" s="19" t="str">
        <x:v>Codex runtime lane</x:v>
      </x:c>
      <x:c r="N58" s="19" t="n">
        <x:v>46230.21527777778</x:v>
      </x:c>
      <x:c r="O58" s="19" t="str">
        <x:v>Preserved as blocked; must be rerun in the isolated dev app after the refactor.</x:v>
      </x:c>
    </x:row>
    <x:row r="59" ht="72" customHeight="1">
      <x:c r="A59" s="19" t="str">
        <x:v>T-0058</x:v>
      </x:c>
      <x:c r="B59" s="19" t="str">
        <x:v>RUN-20260727-01</x:v>
      </x:c>
      <x:c r="C59" s="19" t="str">
        <x:v>B-0058</x:v>
      </x:c>
      <x:c r="D59" s="19" t="str">
        <x:v>Baseline</x:v>
      </x:c>
      <x:c r="E59" s="19" t="str">
        <x:v>Installed /Applications/Sessions.app 0.0.0-local (1); executable sha256 bb850395a607edc80f4cb0d74d5de73843bf3960eff2fb69b1e7653c3717b9ff</x:v>
      </x:c>
      <x:c r="F59" s="19" t="str">
        <x:v>macOS 26.5.2 (25F84), arm64, production PID 53535, displays asleep, no recording/settings/data mutation</x:v>
      </x:c>
      <x:c r="G59" s="19" t="str">
        <x:v>A Clip is selected.</x:v>
      </x:c>
      <x:c r="H59" s="19" t="str">
        <x:v>Behavior was not executed against production because it requires recording, permissions, file access, destructive data, an awake display, seeded isolated state, or a reachable accessibility tree.</x:v>
      </x:c>
      <x:c r="I59" s="19" t="str">
        <x:v>The clipboard receives the MCP instruction and local artifact paths.</x:v>
      </x:c>
      <x:c r="J59" s="19" t="str">
        <x:v>Blocked by the frozen production-baseline safety boundary or environment; no pass is inferred from source.</x:v>
      </x:c>
      <x:c r="K59" s="19" t="str">
        <x:v>Blocked</x:v>
      </x:c>
      <x:c r="L59" s="19" t="str">
        <x:v>/tmp/cepessa-sessions-production-qa/04-window-inventory.txt</x:v>
      </x:c>
      <x:c r="M59" s="19" t="str">
        <x:v>Codex runtime lane</x:v>
      </x:c>
      <x:c r="N59" s="19" t="n">
        <x:v>46230.21527777778</x:v>
      </x:c>
      <x:c r="O59" s="19" t="str">
        <x:v>Preserved as blocked; must be rerun in the isolated dev app after the refactor.</x:v>
      </x:c>
    </x:row>
    <x:row r="60" ht="72" customHeight="1">
      <x:c r="A60" s="19" t="str">
        <x:v>T-0059</x:v>
      </x:c>
      <x:c r="B60" s="19" t="str">
        <x:v>RUN-20260727-01</x:v>
      </x:c>
      <x:c r="C60" s="19" t="str">
        <x:v>B-0059</x:v>
      </x:c>
      <x:c r="D60" s="19" t="str">
        <x:v>Baseline</x:v>
      </x:c>
      <x:c r="E60" s="19" t="str">
        <x:v>Installed /Applications/Sessions.app 0.0.0-local (1); executable sha256 bb850395a607edc80f4cb0d74d5de73843bf3960eff2fb69b1e7653c3717b9ff</x:v>
      </x:c>
      <x:c r="F60" s="19" t="str">
        <x:v>macOS 26.5.2 (25F84), arm64, production PID 53535, displays asleep, no recording/settings/data mutation</x:v>
      </x:c>
      <x:c r="G60" s="19" t="str">
        <x:v>A Clip is selected and its fields are edited.</x:v>
      </x:c>
      <x:c r="H60" s="19" t="str">
        <x:v>Behavior was not executed against production because it requires recording, permissions, file access, destructive data, an awake display, seeded isolated state, or a reachable accessibility tree.</x:v>
      </x:c>
      <x:c r="I60" s="19" t="str">
        <x:v>Post notes, title, and intent are persisted.</x:v>
      </x:c>
      <x:c r="J60" s="19" t="str">
        <x:v>Blocked by the frozen production-baseline safety boundary or environment; no pass is inferred from source.</x:v>
      </x:c>
      <x:c r="K60" s="19" t="str">
        <x:v>Blocked</x:v>
      </x:c>
      <x:c r="L60" s="19" t="str">
        <x:v>/tmp/cepessa-sessions-production-qa/04-window-inventory.txt</x:v>
      </x:c>
      <x:c r="M60" s="19" t="str">
        <x:v>Codex runtime lane</x:v>
      </x:c>
      <x:c r="N60" s="19" t="n">
        <x:v>46230.21527777778</x:v>
      </x:c>
      <x:c r="O60" s="19" t="str">
        <x:v>Preserved as blocked; must be rerun in the isolated dev app after the refactor.</x:v>
      </x:c>
    </x:row>
    <x:row r="61" ht="72" customHeight="1">
      <x:c r="A61" s="19" t="str">
        <x:v>T-0060</x:v>
      </x:c>
      <x:c r="B61" s="19" t="str">
        <x:v>RUN-20260727-01</x:v>
      </x:c>
      <x:c r="C61" s="19" t="str">
        <x:v>B-0060</x:v>
      </x:c>
      <x:c r="D61" s="19" t="str">
        <x:v>Baseline</x:v>
      </x:c>
      <x:c r="E61" s="19" t="str">
        <x:v>Installed /Applications/Sessions.app 0.0.0-local (1); executable sha256 bb850395a607edc80f4cb0d74d5de73843bf3960eff2fb69b1e7653c3717b9ff</x:v>
      </x:c>
      <x:c r="F61" s="19" t="str">
        <x:v>macOS 26.5.2 (25F84), arm64, production PID 53535, displays asleep, no recording/settings/data mutation</x:v>
      </x:c>
      <x:c r="G61" s="19" t="str">
        <x:v>A Clip is selected.</x:v>
      </x:c>
      <x:c r="H61" s="19" t="str">
        <x:v>Behavior was not executed against production because it requires recording, permissions, file access, destructive data, an awake display, seeded isolated state, or a reachable accessibility tree.</x:v>
      </x:c>
      <x:c r="I61" s="19" t="str">
        <x:v>Finder opens the Clip directory.</x:v>
      </x:c>
      <x:c r="J61" s="19" t="str">
        <x:v>Blocked by the frozen production-baseline safety boundary or environment; no pass is inferred from source.</x:v>
      </x:c>
      <x:c r="K61" s="19" t="str">
        <x:v>Blocked</x:v>
      </x:c>
      <x:c r="L61" s="19" t="str">
        <x:v>/tmp/cepessa-sessions-production-qa/04-window-inventory.txt</x:v>
      </x:c>
      <x:c r="M61" s="19" t="str">
        <x:v>Codex runtime lane</x:v>
      </x:c>
      <x:c r="N61" s="19" t="n">
        <x:v>46230.21527777778</x:v>
      </x:c>
      <x:c r="O61" s="19" t="str">
        <x:v>Preserved as blocked; must be rerun in the isolated dev app after the refactor.</x:v>
      </x:c>
    </x:row>
    <x:row r="62" ht="72" customHeight="1">
      <x:c r="A62" s="19" t="str">
        <x:v>T-0061</x:v>
      </x:c>
      <x:c r="B62" s="19" t="str">
        <x:v>RUN-20260727-01</x:v>
      </x:c>
      <x:c r="C62" s="19" t="str">
        <x:v>B-0061</x:v>
      </x:c>
      <x:c r="D62" s="19" t="str">
        <x:v>Baseline</x:v>
      </x:c>
      <x:c r="E62" s="19" t="str">
        <x:v>Installed /Applications/Sessions.app 0.0.0-local (1); executable sha256 bb850395a607edc80f4cb0d74d5de73843bf3960eff2fb69b1e7653c3717b9ff</x:v>
      </x:c>
      <x:c r="F62" s="19" t="str">
        <x:v>macOS 26.5.2 (25F84), arm64, production PID 53535, displays asleep, no recording/settings/data mutation</x:v>
      </x:c>
      <x:c r="G62" s="19" t="str">
        <x:v>The user changes a transcription preference.</x:v>
      </x:c>
      <x:c r="H62" s="19" t="str">
        <x:v>Behavior was not executed against production because it requires recording, permissions, file access, destructive data, an awake display, seeded isolated state, or a reachable accessibility tree.</x:v>
      </x:c>
      <x:c r="I62" s="19" t="str">
        <x:v>The selected model order, speed, and language prompt are applied.</x:v>
      </x:c>
      <x:c r="J62" s="19" t="str">
        <x:v>Blocked by the frozen production-baseline safety boundary or environment; no pass is inferred from source.</x:v>
      </x:c>
      <x:c r="K62" s="19" t="str">
        <x:v>Blocked</x:v>
      </x:c>
      <x:c r="L62" s="19" t="str">
        <x:v>/tmp/cepessa-sessions-production-qa/04-window-inventory.txt</x:v>
      </x:c>
      <x:c r="M62" s="19" t="str">
        <x:v>Codex runtime lane</x:v>
      </x:c>
      <x:c r="N62" s="19" t="n">
        <x:v>46230.21527777778</x:v>
      </x:c>
      <x:c r="O62" s="19" t="str">
        <x:v>Preserved as blocked; must be rerun in the isolated dev app after the refactor.</x:v>
      </x:c>
    </x:row>
    <x:row r="63" ht="72" customHeight="1">
      <x:c r="A63" s="19" t="str">
        <x:v>T-0062</x:v>
      </x:c>
      <x:c r="B63" s="19" t="str">
        <x:v>RUN-20260727-01</x:v>
      </x:c>
      <x:c r="C63" s="19" t="str">
        <x:v>B-0062</x:v>
      </x:c>
      <x:c r="D63" s="19" t="str">
        <x:v>Baseline</x:v>
      </x:c>
      <x:c r="E63" s="19" t="str">
        <x:v>Installed /Applications/Sessions.app 0.0.0-local (1); executable sha256 bb850395a607edc80f4cb0d74d5de73843bf3960eff2fb69b1e7653c3717b9ff</x:v>
      </x:c>
      <x:c r="F63" s="19" t="str">
        <x:v>macOS 26.5.2 (25F84), arm64, production PID 53535, displays asleep, no recording/settings/data mutation</x:v>
      </x:c>
      <x:c r="G63" s="19" t="str">
        <x:v>Settings is visible.</x:v>
      </x:c>
      <x:c r="H63" s="19" t="str">
        <x:v>Behavior was not executed against production because it requires recording, permissions, file access, destructive data, an awake display, seeded isolated state, or a reachable accessibility tree.</x:v>
      </x:c>
      <x:c r="I63" s="19" t="str">
        <x:v>No non-functional raw-audio retention toggle is presented.</x:v>
      </x:c>
      <x:c r="J63" s="19" t="str">
        <x:v>Blocked by the frozen production-baseline safety boundary or environment; no pass is inferred from source.</x:v>
      </x:c>
      <x:c r="K63" s="19" t="str">
        <x:v>Blocked</x:v>
      </x:c>
      <x:c r="L63" s="19" t="str">
        <x:v>/tmp/cepessa-sessions-production-qa/04-window-inventory.txt</x:v>
      </x:c>
      <x:c r="M63" s="19" t="str">
        <x:v>Codex runtime lane</x:v>
      </x:c>
      <x:c r="N63" s="19" t="n">
        <x:v>46230.21527777778</x:v>
      </x:c>
      <x:c r="O63" s="19" t="str">
        <x:v>Preserved as blocked; must be rerun in the isolated dev app after the refactor.</x:v>
      </x:c>
    </x:row>
    <x:row r="64" ht="72" customHeight="1">
      <x:c r="A64" s="19" t="str">
        <x:v>T-0063</x:v>
      </x:c>
      <x:c r="B64" s="19" t="str">
        <x:v>RUN-20260727-01</x:v>
      </x:c>
      <x:c r="C64" s="19" t="str">
        <x:v>B-0063</x:v>
      </x:c>
      <x:c r="D64" s="19" t="str">
        <x:v>Baseline</x:v>
      </x:c>
      <x:c r="E64" s="19" t="str">
        <x:v>Installed /Applications/Sessions.app 0.0.0-local (1); executable sha256 bb850395a607edc80f4cb0d74d5de73843bf3960eff2fb69b1e7653c3717b9ff</x:v>
      </x:c>
      <x:c r="F64" s="19" t="str">
        <x:v>macOS 26.5.2 (25F84), arm64, production PID 53535, displays asleep, no recording/settings/data mutation</x:v>
      </x:c>
      <x:c r="G64" s="19" t="str">
        <x:v>Microphone or screen permission is granted or denied.</x:v>
      </x:c>
      <x:c r="H64" s="19" t="str">
        <x:v>Behavior was not executed against production because it requires recording, permissions, file access, destructive data, an awake display, seeded isolated state, or a reachable accessibility tree.</x:v>
      </x:c>
      <x:c r="I64" s="19" t="str">
        <x:v>Each row shows Ready or Needs access.</x:v>
      </x:c>
      <x:c r="J64" s="19" t="str">
        <x:v>Blocked by the frozen production-baseline safety boundary or environment; no pass is inferred from source.</x:v>
      </x:c>
      <x:c r="K64" s="19" t="str">
        <x:v>Blocked</x:v>
      </x:c>
      <x:c r="L64" s="19" t="str">
        <x:v>/tmp/cepessa-sessions-production-qa/04-window-inventory.txt</x:v>
      </x:c>
      <x:c r="M64" s="19" t="str">
        <x:v>Codex runtime lane</x:v>
      </x:c>
      <x:c r="N64" s="19" t="n">
        <x:v>46230.21527777778</x:v>
      </x:c>
      <x:c r="O64" s="19" t="str">
        <x:v>Preserved as blocked; must be rerun in the isolated dev app after the refactor.</x:v>
      </x:c>
    </x:row>
    <x:row r="65" ht="72" customHeight="1">
      <x:c r="A65" s="19" t="str">
        <x:v>T-0064</x:v>
      </x:c>
      <x:c r="B65" s="19" t="str">
        <x:v>RUN-20260727-01</x:v>
      </x:c>
      <x:c r="C65" s="19" t="str">
        <x:v>B-0064</x:v>
      </x:c>
      <x:c r="D65" s="19" t="str">
        <x:v>Baseline</x:v>
      </x:c>
      <x:c r="E65" s="19" t="str">
        <x:v>Installed /Applications/Sessions.app 0.0.0-local (1); executable sha256 bb850395a607edc80f4cb0d74d5de73843bf3960eff2fb69b1e7653c3717b9ff</x:v>
      </x:c>
      <x:c r="F65" s="19" t="str">
        <x:v>macOS 26.5.2 (25F84), arm64, production PID 53535, displays asleep, no recording/settings/data mutation</x:v>
      </x:c>
      <x:c r="G65" s="19" t="str">
        <x:v>A privacy action is visible.</x:v>
      </x:c>
      <x:c r="H65" s="19" t="str">
        <x:v>Behavior was not executed against production because it requires recording, permissions, file access, destructive data, an awake display, seeded isolated state, or a reachable accessibility tree.</x:v>
      </x:c>
      <x:c r="I65" s="19" t="str">
        <x:v>macOS opens the corresponding Privacy pane.</x:v>
      </x:c>
      <x:c r="J65" s="19" t="str">
        <x:v>Blocked by the frozen production-baseline safety boundary or environment; no pass is inferred from source.</x:v>
      </x:c>
      <x:c r="K65" s="19" t="str">
        <x:v>Blocked</x:v>
      </x:c>
      <x:c r="L65" s="19" t="str">
        <x:v>/tmp/cepessa-sessions-production-qa/04-window-inventory.txt</x:v>
      </x:c>
      <x:c r="M65" s="19" t="str">
        <x:v>Codex runtime lane</x:v>
      </x:c>
      <x:c r="N65" s="19" t="n">
        <x:v>46230.21527777778</x:v>
      </x:c>
      <x:c r="O65" s="19" t="str">
        <x:v>Preserved as blocked; must be rerun in the isolated dev app after the refactor.</x:v>
      </x:c>
    </x:row>
    <x:row r="66" ht="72" customHeight="1">
      <x:c r="A66" s="19" t="str">
        <x:v>T-0065</x:v>
      </x:c>
      <x:c r="B66" s="19" t="str">
        <x:v>RUN-20260727-01</x:v>
      </x:c>
      <x:c r="C66" s="19" t="str">
        <x:v>B-0065</x:v>
      </x:c>
      <x:c r="D66" s="19" t="str">
        <x:v>Baseline</x:v>
      </x:c>
      <x:c r="E66" s="19" t="str">
        <x:v>Installed /Applications/Sessions.app 0.0.0-local (1); executable sha256 bb850395a607edc80f4cb0d74d5de73843bf3960eff2fb69b1e7653c3717b9ff</x:v>
      </x:c>
      <x:c r="F66" s="19" t="str">
        <x:v>macOS 26.5.2 (25F84), arm64, production PID 53535, displays asleep, no recording/settings/data mutation</x:v>
      </x:c>
      <x:c r="G66" s="19" t="str">
        <x:v>Isolated Sessions or Clips storage has known contents.</x:v>
      </x:c>
      <x:c r="H66" s="19" t="str">
        <x:v>Behavior was not executed against production because it requires recording, permissions, file access, destructive data, an awake display, seeded isolated state, or a reachable accessibility tree.</x:v>
      </x:c>
      <x:c r="I66" s="19" t="str">
        <x:v>Sessions, Clips, and total sizes update.</x:v>
      </x:c>
      <x:c r="J66" s="19" t="str">
        <x:v>Blocked by the frozen production-baseline safety boundary or environment; no pass is inferred from source.</x:v>
      </x:c>
      <x:c r="K66" s="19" t="str">
        <x:v>Blocked</x:v>
      </x:c>
      <x:c r="L66" s="19" t="str">
        <x:v>/tmp/cepessa-sessions-production-qa/04-window-inventory.txt</x:v>
      </x:c>
      <x:c r="M66" s="19" t="str">
        <x:v>Codex runtime lane</x:v>
      </x:c>
      <x:c r="N66" s="19" t="n">
        <x:v>46230.21527777778</x:v>
      </x:c>
      <x:c r="O66" s="19" t="str">
        <x:v>Preserved as blocked; must be rerun in the isolated dev app after the refactor.</x:v>
      </x:c>
    </x:row>
    <x:row r="67" ht="72" customHeight="1">
      <x:c r="A67" s="19" t="str">
        <x:v>T-0066</x:v>
      </x:c>
      <x:c r="B67" s="19" t="str">
        <x:v>RUN-20260727-01</x:v>
      </x:c>
      <x:c r="C67" s="19" t="str">
        <x:v>B-0066</x:v>
      </x:c>
      <x:c r="D67" s="19" t="str">
        <x:v>Baseline</x:v>
      </x:c>
      <x:c r="E67" s="19" t="str">
        <x:v>Installed /Applications/Sessions.app 0.0.0-local (1); executable sha256 bb850395a607edc80f4cb0d74d5de73843bf3960eff2fb69b1e7653c3717b9ff</x:v>
      </x:c>
      <x:c r="F67" s="19" t="str">
        <x:v>macOS 26.5.2 (25F84), arm64, production PID 53535, displays asleep, no recording/settings/data mutation</x:v>
      </x:c>
      <x:c r="G67" s="19" t="str">
        <x:v>A Reveal action is visible.</x:v>
      </x:c>
      <x:c r="H67" s="19" t="str">
        <x:v>Behavior was not executed against production because it requires recording, permissions, file access, destructive data, an awake display, seeded isolated state, or a reachable accessibility tree.</x:v>
      </x:c>
      <x:c r="I67" s="19" t="str">
        <x:v>Finder opens the selected Sessions, Clips, or Models location.</x:v>
      </x:c>
      <x:c r="J67" s="19" t="str">
        <x:v>Blocked by the frozen production-baseline safety boundary or environment; no pass is inferred from source.</x:v>
      </x:c>
      <x:c r="K67" s="19" t="str">
        <x:v>Blocked</x:v>
      </x:c>
      <x:c r="L67" s="19" t="str">
        <x:v>/tmp/cepessa-sessions-production-qa/04-window-inventory.txt</x:v>
      </x:c>
      <x:c r="M67" s="19" t="str">
        <x:v>Codex runtime lane</x:v>
      </x:c>
      <x:c r="N67" s="19" t="n">
        <x:v>46230.21527777778</x:v>
      </x:c>
      <x:c r="O67" s="19" t="str">
        <x:v>Preserved as blocked; must be rerun in the isolated dev app after the refactor.</x:v>
      </x:c>
    </x:row>
    <x:row r="68" ht="72" customHeight="1">
      <x:c r="A68" s="19" t="str">
        <x:v>T-0067</x:v>
      </x:c>
      <x:c r="B68" s="19" t="str">
        <x:v>RUN-20260727-01</x:v>
      </x:c>
      <x:c r="C68" s="19" t="str">
        <x:v>B-0067</x:v>
      </x:c>
      <x:c r="D68" s="19" t="str">
        <x:v>Baseline</x:v>
      </x:c>
      <x:c r="E68" s="19" t="str">
        <x:v>Installed /Applications/Sessions.app 0.0.0-local (1); executable sha256 bb850395a607edc80f4cb0d74d5de73843bf3960eff2fb69b1e7653c3717b9ff</x:v>
      </x:c>
      <x:c r="F68" s="19" t="str">
        <x:v>macOS 26.5.2 (25F84), arm64, production PID 53535, displays asleep, no recording/settings/data mutation</x:v>
      </x:c>
      <x:c r="G68" s="19" t="str">
        <x:v>Isolated Sessions storage contains disposable data.</x:v>
      </x:c>
      <x:c r="H68" s="19" t="str">
        <x:v>Behavior was not executed against production because it requires recording, permissions, file access, destructive data, an awake display, seeded isolated state, or a reachable accessibility tree.</x:v>
      </x:c>
      <x:c r="I68" s="19" t="str">
        <x:v>All non-hidden children are immediately deleted and the session model reloads.</x:v>
      </x:c>
      <x:c r="J68" s="19" t="str">
        <x:v>Blocked by the frozen production-baseline safety boundary or environment; no pass is inferred from source.</x:v>
      </x:c>
      <x:c r="K68" s="19" t="str">
        <x:v>Blocked</x:v>
      </x:c>
      <x:c r="L68" s="19" t="str">
        <x:v>/tmp/cepessa-sessions-production-qa/04-window-inventory.txt</x:v>
      </x:c>
      <x:c r="M68" s="19" t="str">
        <x:v>Codex runtime lane</x:v>
      </x:c>
      <x:c r="N68" s="19" t="n">
        <x:v>46230.21527777778</x:v>
      </x:c>
      <x:c r="O68" s="19" t="str">
        <x:v>Preserved as blocked; must be rerun in the isolated dev app after the refactor.</x:v>
      </x:c>
    </x:row>
    <x:row r="69" ht="72" customHeight="1">
      <x:c r="A69" s="19" t="str">
        <x:v>T-0068</x:v>
      </x:c>
      <x:c r="B69" s="19" t="str">
        <x:v>RUN-20260727-01</x:v>
      </x:c>
      <x:c r="C69" s="19" t="str">
        <x:v>B-0068</x:v>
      </x:c>
      <x:c r="D69" s="19" t="str">
        <x:v>Baseline</x:v>
      </x:c>
      <x:c r="E69" s="19" t="str">
        <x:v>Installed /Applications/Sessions.app 0.0.0-local (1); executable sha256 bb850395a607edc80f4cb0d74d5de73843bf3960eff2fb69b1e7653c3717b9ff</x:v>
      </x:c>
      <x:c r="F69" s="19" t="str">
        <x:v>macOS 26.5.2 (25F84), arm64, production PID 53535, displays asleep, no recording/settings/data mutation</x:v>
      </x:c>
      <x:c r="G69" s="19" t="str">
        <x:v>Isolated Clips storage contains disposable data.</x:v>
      </x:c>
      <x:c r="H69" s="19" t="str">
        <x:v>Behavior was not executed against production because it requires recording, permissions, file access, destructive data, an awake display, seeded isolated state, or a reachable accessibility tree.</x:v>
      </x:c>
      <x:c r="I69" s="19" t="str">
        <x:v>All non-hidden children are immediately deleted.</x:v>
      </x:c>
      <x:c r="J69" s="19" t="str">
        <x:v>Blocked by the frozen production-baseline safety boundary or environment; no pass is inferred from source.</x:v>
      </x:c>
      <x:c r="K69" s="19" t="str">
        <x:v>Blocked</x:v>
      </x:c>
      <x:c r="L69" s="19" t="str">
        <x:v>/tmp/cepessa-sessions-production-qa/04-window-inventory.txt</x:v>
      </x:c>
      <x:c r="M69" s="19" t="str">
        <x:v>Codex runtime lane</x:v>
      </x:c>
      <x:c r="N69" s="19" t="n">
        <x:v>46230.21527777778</x:v>
      </x:c>
      <x:c r="O69" s="19" t="str">
        <x:v>Preserved as blocked; must be rerun in the isolated dev app after the refactor.</x:v>
      </x:c>
    </x:row>
    <x:row r="70" ht="72" customHeight="1">
      <x:c r="A70" s="19" t="str">
        <x:v>T-0069</x:v>
      </x:c>
      <x:c r="B70" s="19" t="str">
        <x:v>RUN-20260727-01</x:v>
      </x:c>
      <x:c r="C70" s="19" t="str">
        <x:v>B-0069</x:v>
      </x:c>
      <x:c r="D70" s="19" t="str">
        <x:v>Baseline</x:v>
      </x:c>
      <x:c r="E70" s="19" t="str">
        <x:v>Installed /Applications/Sessions.app 0.0.0-local (1); executable sha256 bb850395a607edc80f4cb0d74d5de73843bf3960eff2fb69b1e7653c3717b9ff</x:v>
      </x:c>
      <x:c r="F70" s="19" t="str">
        <x:v>macOS 26.5.2 (25F84), arm64, production PID 53535, displays asleep, no recording/settings/data mutation</x:v>
      </x:c>
      <x:c r="G70" s="19" t="str">
        <x:v>The app is running and no modal workflow is active.</x:v>
      </x:c>
      <x:c r="H70" s="19" t="str">
        <x:v>Invoke Settings once from the status menu and inspect the resulting window.</x:v>
      </x:c>
      <x:c r="I70" s="19" t="str">
        <x:v>The Settings window becomes visible and exposes capture, permission, and storage controls.</x:v>
      </x:c>
      <x:c r="J70" s="19" t="str">
        <x:v>The command was invoked, but no accessible Settings content or second onscreen window could be proven while both displays were asleep.</x:v>
      </x:c>
      <x:c r="K70" s="19" t="str">
        <x:v>Blocked</x:v>
      </x:c>
      <x:c r="L70" s="19" t="str">
        <x:v>/tmp/cepessa-sessions-production-qa/app-settings-menu-open.json; /tmp/cepessa-sessions-production-qa/04-window-inventory.txt</x:v>
      </x:c>
      <x:c r="M70" s="19" t="str">
        <x:v>Codex runtime lane</x:v>
      </x:c>
      <x:c r="N70" s="19" t="n">
        <x:v>46230.21527777778</x:v>
      </x:c>
      <x:c r="O70" s="19" t="str">
        <x:v>Preserved as blocked; must be rerun in the isolated dev app after the refactor.</x:v>
      </x:c>
    </x:row>
    <x:row r="71" ht="72" customHeight="1">
      <x:c r="A71" s="19" t="str">
        <x:v>T-0070</x:v>
      </x:c>
      <x:c r="B71" s="19" t="str">
        <x:v>RUN-20260727-01</x:v>
      </x:c>
      <x:c r="C71" s="19" t="str">
        <x:v>B-0070</x:v>
      </x:c>
      <x:c r="D71" s="19" t="str">
        <x:v>Baseline</x:v>
      </x:c>
      <x:c r="E71" s="19" t="str">
        <x:v>Installed /Applications/Sessions.app 0.0.0-local (1); executable sha256 bb850395a607edc80f4cb0d74d5de73843bf3960eff2fb69b1e7653c3717b9ff</x:v>
      </x:c>
      <x:c r="F71" s="19" t="str">
        <x:v>macOS 26.5.2 (25F84), arm64, production PID 53535, displays asleep, no recording/settings/data mutation</x:v>
      </x:c>
      <x:c r="G71" s="19" t="str">
        <x:v>The app is idle.</x:v>
      </x:c>
      <x:c r="H71" s="19" t="str">
        <x:v>Behavior was not executed against production because it requires recording, permissions, file access, destructive data, an awake display, seeded isolated state, or a reachable accessibility tree.</x:v>
      </x:c>
      <x:c r="I71" s="19" t="str">
        <x:v>The app terminates without leaving active capture writers.</x:v>
      </x:c>
      <x:c r="J71" s="19" t="str">
        <x:v>Blocked by the frozen production-baseline safety boundary or environment; no pass is inferred from source.</x:v>
      </x:c>
      <x:c r="K71" s="19" t="str">
        <x:v>Blocked</x:v>
      </x:c>
      <x:c r="L71" s="19" t="str">
        <x:v>/tmp/cepessa-sessions-production-qa/04-window-inventory.txt</x:v>
      </x:c>
      <x:c r="M71" s="19" t="str">
        <x:v>Codex runtime lane</x:v>
      </x:c>
      <x:c r="N71" s="19" t="n">
        <x:v>46230.21527777778</x:v>
      </x:c>
      <x:c r="O71" s="19" t="str">
        <x:v>Preserved as blocked; must be rerun in the isolated dev app after the refactor.</x:v>
      </x:c>
    </x:row>
    <x:row r="72" ht="72" customHeight="1">
      <x:c r="A72" s="19" t="str">
        <x:v>T-0071</x:v>
      </x:c>
      <x:c r="B72" s="19" t="str">
        <x:v>RUN-20260727-01</x:v>
      </x:c>
      <x:c r="C72" s="19" t="str">
        <x:v>B-0071</x:v>
      </x:c>
      <x:c r="D72" s="19" t="str">
        <x:v>Baseline</x:v>
      </x:c>
      <x:c r="E72" s="19" t="str">
        <x:v>Installed /Applications/Sessions.app 0.0.0-local (1); executable sha256 bb850395a607edc80f4cb0d74d5de73843bf3960eff2fb69b1e7653c3717b9ff</x:v>
      </x:c>
      <x:c r="F72" s="19" t="str">
        <x:v>macOS 26.5.2 (25F84), arm64, production PID 53535, displays asleep, no recording/settings/data mutation</x:v>
      </x:c>
      <x:c r="G72" s="19" t="str">
        <x:v>The meeting-brain evidence pipeline exists.</x:v>
      </x:c>
      <x:c r="H72" s="19" t="str">
        <x:v>Reconcile reachable production menus/settings with the current desktop source entry points.</x:v>
      </x:c>
      <x:c r="I72" s="19" t="str">
        <x:v>A clear meeting-brain connection, health, and standalone mode surface is available.</x:v>
      </x:c>
      <x:c r="J72" s="19" t="str">
        <x:v>No reachable meeting-brain connection, health, or standalone configuration surface exists.</x:v>
      </x:c>
      <x:c r="K72" s="19" t="str">
        <x:v>Fail</x:v>
      </x:c>
      <x:c r="L72" s="19" t="str">
        <x:v>CepessaSessionsApp.swift; CepessaSessionStatusBar.swift; source inventory F-0043</x:v>
      </x:c>
      <x:c r="M72" s="19" t="str">
        <x:v>Codex runtime lane</x:v>
      </x:c>
      <x:c r="N72" s="19" t="n">
        <x:v>46230.21527777778</x:v>
      </x:c>
      <x:c r="O72" s="19" t="str"/>
    </x:row>
    <x:row r="73" ht="72" customHeight="1">
      <x:c r="A73" s="19" t="str">
        <x:v>T-0072</x:v>
      </x:c>
      <x:c r="B73" s="19" t="str">
        <x:v>RUN-20260727-01</x:v>
      </x:c>
      <x:c r="C73" s="19" t="str">
        <x:v>B-0072</x:v>
      </x:c>
      <x:c r="D73" s="19" t="str">
        <x:v>Baseline</x:v>
      </x:c>
      <x:c r="E73" s="19" t="str">
        <x:v>Installed /Applications/Sessions.app 0.0.0-local (1); executable sha256 bb850395a607edc80f4cb0d74d5de73843bf3960eff2fb69b1e7653c3717b9ff</x:v>
      </x:c>
      <x:c r="F73" s="19" t="str">
        <x:v>macOS 26.5.2 (25F84), arm64, production PID 53535, displays asleep, no recording/settings/data mutation</x:v>
      </x:c>
      <x:c r="G73" s="19" t="str">
        <x:v>The installed app is idle.</x:v>
      </x:c>
      <x:c r="H73" s="19" t="str">
        <x:v>Read the floating panel frame from WindowServer without showing or moving it.</x:v>
      </x:c>
      <x:c r="I73" s="19" t="str">
        <x:v>The persistent idle indicator uses a compact non-obstructive footprint.</x:v>
      </x:c>
      <x:c r="J73" s="19" t="str">
        <x:v>The installed idle panel measured 356×64, materially larger than a compact recording indicator.</x:v>
      </x:c>
      <x:c r="K73" s="19" t="str">
        <x:v>Fail</x:v>
      </x:c>
      <x:c r="L73" s="19" t="str">
        <x:v>/tmp/cepessa-sessions-production-qa/04-window-inventory.txt</x:v>
      </x:c>
      <x:c r="M73" s="19" t="str">
        <x:v>Codex runtime lane</x:v>
      </x:c>
      <x:c r="N73" s="19" t="n">
        <x:v>46230.21527777778</x:v>
      </x:c>
      <x:c r="O73" s="19" t="str"/>
    </x:row>
    <x:row r="74" ht="72" customHeight="1">
      <x:c r="A74" s="19" t="str">
        <x:v>T-0073</x:v>
      </x:c>
      <x:c r="B74" s="19" t="str">
        <x:v>RUN-20260727-01</x:v>
      </x:c>
      <x:c r="C74" s="19" t="str">
        <x:v>B-0073</x:v>
      </x:c>
      <x:c r="D74" s="19" t="str">
        <x:v>Baseline</x:v>
      </x:c>
      <x:c r="E74" s="19" t="str">
        <x:v>Installed /Applications/Sessions.app 0.0.0-local (1); executable sha256 bb850395a607edc80f4cb0d74d5de73843bf3960eff2fb69b1e7653c3717b9ff</x:v>
      </x:c>
      <x:c r="F74" s="19" t="str">
        <x:v>macOS 26.5.2 (25F84), arm64, production PID 53535, displays asleep, no recording/settings/data mutation</x:v>
      </x:c>
      <x:c r="G74" s="19" t="str">
        <x:v>The installed app is idle.</x:v>
      </x:c>
      <x:c r="H74" s="19" t="str">
        <x:v>Sample the idle production process six times at one-second intervals.</x:v>
      </x:c>
      <x:c r="I74" s="19" t="str">
        <x:v>Idle CPU remains negligible and memory remains stable.</x:v>
      </x:c>
      <x:c r="J74" s="19" t="str">
        <x:v>All six samples were 0.0% CPU; RSS settled around 137–160 MB.</x:v>
      </x:c>
      <x:c r="K74" s="19" t="str">
        <x:v>Pass</x:v>
      </x:c>
      <x:c r="L74" s="19" t="str">
        <x:v>/tmp/cepessa-sessions-production-qa/09-idle-cpu-samples.txt; /tmp/cepessa-sessions-production-qa/09-idle-sample.txt</x:v>
      </x:c>
      <x:c r="M74" s="19" t="str">
        <x:v>Codex runtime lane</x:v>
      </x:c>
      <x:c r="N74" s="19" t="n">
        <x:v>46230.21527777778</x:v>
      </x:c>
      <x:c r="O74" s="19" t="str"/>
    </x:row>
    <x:row r="75" ht="72" customHeight="1">
      <x:c r="A75" s="19" t="str">
        <x:v>T-0074</x:v>
      </x:c>
      <x:c r="B75" s="19" t="str">
        <x:v>RUN-20260727-01</x:v>
      </x:c>
      <x:c r="C75" s="19" t="str">
        <x:v>B-0074</x:v>
      </x:c>
      <x:c r="D75" s="19" t="str">
        <x:v>Baseline</x:v>
      </x:c>
      <x:c r="E75" s="19" t="str">
        <x:v>Installed /Applications/Sessions.app 0.0.0-local (1); executable sha256 bb850395a607edc80f4cb0d74d5de73843bf3960eff2fb69b1e7653c3717b9ff</x:v>
      </x:c>
      <x:c r="F75" s="19" t="str">
        <x:v>macOS 26.5.2 (25F84), arm64, production PID 53535, displays asleep, no recording/settings/data mutation</x:v>
      </x:c>
      <x:c r="G75" s="19" t="str">
        <x:v>The floating bar is hidden and the menu-bar item is the only visible control.</x:v>
      </x:c>
      <x:c r="H75" s="19" t="str">
        <x:v>Inspect the status item accessibility label, text, identifier, supported actions, and frame.</x:v>
      </x:c>
      <x:c r="I75" s="19" t="str">
        <x:v>The control exposes a meaningful label, value, and action.</x:v>
      </x:c>
      <x:c r="J75" s="19" t="str">
        <x:v>The item supported AXPress and measured 35.5×24, but its label, text, and identifier were empty.</x:v>
      </x:c>
      <x:c r="K75" s="19" t="str">
        <x:v>Fail</x:v>
      </x:c>
      <x:c r="L75" s="19" t="str">
        <x:v>/tmp/cepessa-sessions-production-qa/05-status-accessibility.json</x:v>
      </x:c>
      <x:c r="M75" s="19" t="str">
        <x:v>Codex runtime lane</x:v>
      </x:c>
      <x:c r="N75" s="19" t="n">
        <x:v>46230.21527777778</x:v>
      </x:c>
      <x:c r="O75" s="19" t="str"/>
    </x:row>
    <x:row r="76" ht="72" customHeight="1">
      <x:c r="A76" s="19" t="str">
        <x:v>T-0075</x:v>
      </x:c>
      <x:c r="B76" s="19" t="str">
        <x:v>RUN-20260727-01</x:v>
      </x:c>
      <x:c r="C76" s="19" t="str">
        <x:v>B-0075</x:v>
      </x:c>
      <x:c r="D76" s="19" t="str">
        <x:v>Baseline</x:v>
      </x:c>
      <x:c r="E76" s="19" t="str">
        <x:v>Installed /Applications/Sessions.app 0.0.0-local (1); executable sha256 bb850395a607edc80f4cb0d74d5de73843bf3960eff2fb69b1e7653c3717b9ff</x:v>
      </x:c>
      <x:c r="F76" s="19" t="str">
        <x:v>macOS 26.5.2 (25F84), arm64, production PID 53535, displays asleep, no recording/settings/data mutation</x:v>
      </x:c>
      <x:c r="G76" s="19" t="str">
        <x:v>The production app is running.</x:v>
      </x:c>
      <x:c r="H76" s="19" t="str">
        <x:v>Enumerate the production app menu bar through accessibility.</x:v>
      </x:c>
      <x:c r="I76" s="19" t="str">
        <x:v>App, Edit, View, Window, and Help menus remain available with standard commands.</x:v>
      </x:c>
      <x:c r="J76" s="19" t="str">
        <x:v>App, Edit, View, Window, and Help menus were present with standard About, Settings, Services, Hide, and Quit commands.</x:v>
      </x:c>
      <x:c r="K76" s="19" t="str">
        <x:v>Pass</x:v>
      </x:c>
      <x:c r="L76" s="19" t="str">
        <x:v>/tmp/cepessa-sessions-production-qa/01-current-interactive.json</x:v>
      </x:c>
      <x:c r="M76" s="19" t="str">
        <x:v>Codex runtime lane</x:v>
      </x:c>
      <x:c r="N76" s="19" t="n">
        <x:v>46230.21527777778</x:v>
      </x:c>
      <x:c r="O76" s="19" t="str"/>
    </x:row>
    <x:row r="77" ht="72" customHeight="1">
      <x:c r="A77" s="19" t="str">
        <x:v>T-0076</x:v>
      </x:c>
      <x:c r="B77" s="19" t="str">
        <x:v>RUN-20260727-02</x:v>
      </x:c>
      <x:c r="C77" s="19" t="str">
        <x:v>B-0001</x:v>
      </x:c>
      <x:c r="D77" s="19" t="str">
        <x:v>Final regression</x:v>
      </x:c>
      <x:c r="E77" s="19" t="str">
        <x:v>Isolated debug build, bundle me.cepessa.sessions.liquidqafinal; Swift suite 158 tests, 1 intentional skip, 0 failures</x:v>
      </x:c>
      <x:c r="F77" s="19" t="str">
        <x:v>macOS 26.5.2, arm64, isolated storage root, presentation-only recording state, production PID 53535 unchanged</x:v>
      </x:c>
      <x:c r="G77" s="19" t="str">
        <x:v>App is not running.</x:v>
      </x:c>
      <x:c r="H77" s="19" t="str">
        <x:v>Execute the behavior in the isolated dev app when safely reachable; otherwise preserve the explicit blocker. Installed-app launch + agent-swift</x:v>
      </x:c>
      <x:c r="I77" s="19" t="str">
        <x:v>The app remains accessory-only and initializes the status item and floating bar.</x:v>
      </x:c>
      <x:c r="J77" s="19" t="str">
        <x:v>The uniquely identified accessory app launched and exposed its status item plus 22×22 idle indicator.</x:v>
      </x:c>
      <x:c r="K77" s="19" t="str">
        <x:v>Pass</x:v>
      </x:c>
      <x:c r="L77" s="19" t="str">
        <x:v>/tmp/cepessa-liquidqa-ax-final-idle.json; /tmp/cepessa-liquidqa-idle2.png</x:v>
      </x:c>
      <x:c r="M77" s="19" t="str">
        <x:v>Codex independent verification</x:v>
      </x:c>
      <x:c r="N77" s="19" t="n">
        <x:v>46230.270833333336</x:v>
      </x:c>
      <x:c r="O77" s="19" t="str"/>
    </x:row>
    <x:row r="78" ht="72" customHeight="1">
      <x:c r="A78" s="19" t="str">
        <x:v>T-0077</x:v>
      </x:c>
      <x:c r="B78" s="19" t="str">
        <x:v>RUN-20260727-02</x:v>
      </x:c>
      <x:c r="C78" s="19" t="str">
        <x:v>B-0002</x:v>
      </x:c>
      <x:c r="D78" s="19" t="str">
        <x:v>Final regression</x:v>
      </x:c>
      <x:c r="E78" s="19" t="str">
        <x:v>Isolated debug build, bundle me.cepessa.sessions.liquidqafinal; Swift suite 158 tests, 1 intentional skip, 0 failures</x:v>
      </x:c>
      <x:c r="F78" s="19" t="str">
        <x:v>macOS 26.5.2, arm64, isolated storage root, presentation-only recording state, production PID 53535 unchanged</x:v>
      </x:c>
      <x:c r="G78" s="19" t="str">
        <x:v>App is running with no visible windows.</x:v>
      </x:c>
      <x:c r="H78" s="19" t="str">
        <x:v>Execute the behavior in the isolated dev app when safely reachable; otherwise preserve the explicit blocker. Installed-app interaction</x:v>
      </x:c>
      <x:c r="I78" s="19" t="str">
        <x:v>The Sessions reading window becomes key and visible.</x:v>
      </x:c>
      <x:c r="J78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78" s="19" t="str">
        <x:v>Blocked</x:v>
      </x:c>
      <x:c r="L78" s="19" t="str">
        <x:v>/tmp/cepessa-liquidqa-full-final.log</x:v>
      </x:c>
      <x:c r="M78" s="19" t="str">
        <x:v>Codex independent verification</x:v>
      </x:c>
      <x:c r="N78" s="19" t="n">
        <x:v>46230.270833333336</x:v>
      </x:c>
      <x:c r="O78" s="19" t="str">
        <x:v>Incomplete, not failed: no runtime claim is inferred from source or the passing Swift suite.</x:v>
      </x:c>
    </x:row>
    <x:row r="79" ht="72" customHeight="1">
      <x:c r="A79" s="19" t="str">
        <x:v>T-0078</x:v>
      </x:c>
      <x:c r="B79" s="19" t="str">
        <x:v>RUN-20260727-02</x:v>
      </x:c>
      <x:c r="C79" s="19" t="str">
        <x:v>B-0003</x:v>
      </x:c>
      <x:c r="D79" s="19" t="str">
        <x:v>Final regression</x:v>
      </x:c>
      <x:c r="E79" s="19" t="str">
        <x:v>Isolated debug build, bundle me.cepessa.sessions.liquidqafinal; Swift suite 158 tests, 1 intentional skip, 0 failures</x:v>
      </x:c>
      <x:c r="F79" s="19" t="str">
        <x:v>macOS 26.5.2, arm64, isolated storage root, presentation-only recording state, production PID 53535 unchanged</x:v>
      </x:c>
      <x:c r="G79" s="19" t="str">
        <x:v>No recording, processing, or recorder error.</x:v>
      </x:c>
      <x:c r="H79" s="19" t="str">
        <x:v>Execute the behavior in the isolated dev app when safely reachable; otherwise preserve the explicit blocker. Menu/status inspection</x:v>
      </x:c>
      <x:c r="I79" s="19" t="str">
        <x:v>The idle icon and Sessions ready status appear.</x:v>
      </x:c>
      <x:c r="J79" s="19" t="str">
        <x:v>The status item exposed 'Cepessa Sessions, idle' and changed to a meaningful recording label.</x:v>
      </x:c>
      <x:c r="K79" s="19" t="str">
        <x:v>Pass</x:v>
      </x:c>
      <x:c r="L79" s="19" t="str">
        <x:v>/tmp/cepessa-liquidqa-ax-final-idle.json; /tmp/cepessa-liquidqa-ax-final-recording.json</x:v>
      </x:c>
      <x:c r="M79" s="19" t="str">
        <x:v>Codex independent verification</x:v>
      </x:c>
      <x:c r="N79" s="19" t="n">
        <x:v>46230.270833333336</x:v>
      </x:c>
      <x:c r="O79" s="19" t="str"/>
    </x:row>
    <x:row r="80" ht="72" customHeight="1">
      <x:c r="A80" s="19" t="str">
        <x:v>T-0079</x:v>
      </x:c>
      <x:c r="B80" s="19" t="str">
        <x:v>RUN-20260727-02</x:v>
      </x:c>
      <x:c r="C80" s="19" t="str">
        <x:v>B-0004</x:v>
      </x:c>
      <x:c r="D80" s="19" t="str">
        <x:v>Final regression</x:v>
      </x:c>
      <x:c r="E80" s="19" t="str">
        <x:v>Isolated debug build, bundle me.cepessa.sessions.liquidqafinal; Swift suite 158 tests, 1 intentional skip, 0 failures</x:v>
      </x:c>
      <x:c r="F80" s="19" t="str">
        <x:v>macOS 26.5.2, arm64, isolated storage root, presentation-only recording state, production PID 53535 unchanged</x:v>
      </x:c>
      <x:c r="G80" s="19" t="str">
        <x:v>Recording is active.</x:v>
      </x:c>
      <x:c r="H80" s="19" t="str">
        <x:v>Execute the behavior in the isolated dev app when safely reachable; otherwise preserve the explicit blocker. Safe dev recording + status inspection</x:v>
      </x:c>
      <x:c r="I80" s="19" t="str">
        <x:v>The status item displays elapsed recording time.</x:v>
      </x:c>
      <x:c r="J80" s="19" t="str">
        <x:v>Presentation-state recording showed 00:42 in both the lozenge and status item.</x:v>
      </x:c>
      <x:c r="K80" s="19" t="str">
        <x:v>Pass</x:v>
      </x:c>
      <x:c r="L80" s="19" t="str">
        <x:v>/tmp/cepessa-liquidqa-ax-final-recording.json; /tmp/cepessa-liquidqa-final-recording.png</x:v>
      </x:c>
      <x:c r="M80" s="19" t="str">
        <x:v>Codex independent verification</x:v>
      </x:c>
      <x:c r="N80" s="19" t="n">
        <x:v>46230.270833333336</x:v>
      </x:c>
      <x:c r="O80" s="19" t="str"/>
    </x:row>
    <x:row r="81" ht="72" customHeight="1">
      <x:c r="A81" s="19" t="str">
        <x:v>T-0080</x:v>
      </x:c>
      <x:c r="B81" s="19" t="str">
        <x:v>RUN-20260727-02</x:v>
      </x:c>
      <x:c r="C81" s="19" t="str">
        <x:v>B-0005</x:v>
      </x:c>
      <x:c r="D81" s="19" t="str">
        <x:v>Final regression</x:v>
      </x:c>
      <x:c r="E81" s="19" t="str">
        <x:v>Isolated debug build, bundle me.cepessa.sessions.liquidqafinal; Swift suite 158 tests, 1 intentional skip, 0 failures</x:v>
      </x:c>
      <x:c r="F81" s="19" t="str">
        <x:v>macOS 26.5.2, arm64, isolated storage root, presentation-only recording state, production PID 53535 unchanged</x:v>
      </x:c>
      <x:c r="G81" s="19" t="str">
        <x:v>Transcription is active.</x:v>
      </x:c>
      <x:c r="H81" s="19" t="str">
        <x:v>Execute the behavior in the isolated dev app when safely reachable; otherwise preserve the explicit blocker. Fixture import + status inspection</x:v>
      </x:c>
      <x:c r="I81" s="19" t="str">
        <x:v>The status item displays rounded percentage or ellipsis.</x:v>
      </x:c>
      <x:c r="J81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81" s="19" t="str">
        <x:v>Blocked</x:v>
      </x:c>
      <x:c r="L81" s="19" t="str">
        <x:v>/tmp/cepessa-liquidqa-full-final.log</x:v>
      </x:c>
      <x:c r="M81" s="19" t="str">
        <x:v>Codex independent verification</x:v>
      </x:c>
      <x:c r="N81" s="19" t="n">
        <x:v>46230.270833333336</x:v>
      </x:c>
      <x:c r="O81" s="19" t="str">
        <x:v>Incomplete, not failed: no runtime claim is inferred from source or the passing Swift suite.</x:v>
      </x:c>
    </x:row>
    <x:row r="82" ht="72" customHeight="1">
      <x:c r="A82" s="19" t="str">
        <x:v>T-0081</x:v>
      </x:c>
      <x:c r="B82" s="19" t="str">
        <x:v>RUN-20260727-02</x:v>
      </x:c>
      <x:c r="C82" s="19" t="str">
        <x:v>B-0006</x:v>
      </x:c>
      <x:c r="D82" s="19" t="str">
        <x:v>Final regression</x:v>
      </x:c>
      <x:c r="E82" s="19" t="str">
        <x:v>Isolated debug build, bundle me.cepessa.sessions.liquidqafinal; Swift suite 158 tests, 1 intentional skip, 0 failures</x:v>
      </x:c>
      <x:c r="F82" s="19" t="str">
        <x:v>macOS 26.5.2, arm64, isolated storage root, presentation-only recording state, production PID 53535 unchanged</x:v>
      </x:c>
      <x:c r="G82" s="19" t="str">
        <x:v>A non-empty recorder message exists.</x:v>
      </x:c>
      <x:c r="H82" s="19" t="str">
        <x:v>Execute the behavior in the isolated dev app when safely reachable; otherwise preserve the explicit blocker. Source assertion + dev state fixture</x:v>
      </x:c>
      <x:c r="I82" s="19" t="str">
        <x:v>The status item is classified as failed and displays an exclamation marker.</x:v>
      </x:c>
      <x:c r="J82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82" s="19" t="str">
        <x:v>Blocked</x:v>
      </x:c>
      <x:c r="L82" s="19" t="str">
        <x:v>/tmp/cepessa-liquidqa-full-final.log</x:v>
      </x:c>
      <x:c r="M82" s="19" t="str">
        <x:v>Codex independent verification</x:v>
      </x:c>
      <x:c r="N82" s="19" t="n">
        <x:v>46230.270833333336</x:v>
      </x:c>
      <x:c r="O82" s="19" t="str">
        <x:v>Incomplete, not failed: no runtime claim is inferred from source or the passing Swift suite.</x:v>
      </x:c>
    </x:row>
    <x:row r="83" ht="72" customHeight="1">
      <x:c r="A83" s="19" t="str">
        <x:v>T-0082</x:v>
      </x:c>
      <x:c r="B83" s="19" t="str">
        <x:v>RUN-20260727-02</x:v>
      </x:c>
      <x:c r="C83" s="19" t="str">
        <x:v>B-0007</x:v>
      </x:c>
      <x:c r="D83" s="19" t="str">
        <x:v>Final regression</x:v>
      </x:c>
      <x:c r="E83" s="19" t="str">
        <x:v>Isolated debug build, bundle me.cepessa.sessions.liquidqafinal; Swift suite 158 tests, 1 intentional skip, 0 failures</x:v>
      </x:c>
      <x:c r="F83" s="19" t="str">
        <x:v>macOS 26.5.2, arm64, isolated storage root, presentation-only recording state, production PID 53535 unchanged</x:v>
      </x:c>
      <x:c r="G83" s="19" t="str">
        <x:v>At least two processing snapshots exist.</x:v>
      </x:c>
      <x:c r="H83" s="19" t="str">
        <x:v>Execute the behavior in the isolated dev app when safely reachable; otherwise preserve the explicit blocker. Fixture state + menu inspection</x:v>
      </x:c>
      <x:c r="I83" s="19" t="str">
        <x:v>A processing-queue count row appears.</x:v>
      </x:c>
      <x:c r="J83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83" s="19" t="str">
        <x:v>Blocked</x:v>
      </x:c>
      <x:c r="L83" s="19" t="str">
        <x:v>/tmp/cepessa-liquidqa-full-final.log</x:v>
      </x:c>
      <x:c r="M83" s="19" t="str">
        <x:v>Codex independent verification</x:v>
      </x:c>
      <x:c r="N83" s="19" t="n">
        <x:v>46230.270833333336</x:v>
      </x:c>
      <x:c r="O83" s="19" t="str">
        <x:v>Incomplete, not failed: no runtime claim is inferred from source or the passing Swift suite.</x:v>
      </x:c>
    </x:row>
    <x:row r="84" ht="72" customHeight="1">
      <x:c r="A84" s="19" t="str">
        <x:v>T-0083</x:v>
      </x:c>
      <x:c r="B84" s="19" t="str">
        <x:v>RUN-20260727-02</x:v>
      </x:c>
      <x:c r="C84" s="19" t="str">
        <x:v>B-0008</x:v>
      </x:c>
      <x:c r="D84" s="19" t="str">
        <x:v>Final regression</x:v>
      </x:c>
      <x:c r="E84" s="19" t="str">
        <x:v>Isolated debug build, bundle me.cepessa.sessions.liquidqafinal; Swift suite 158 tests, 1 intentional skip, 0 failures</x:v>
      </x:c>
      <x:c r="F84" s="19" t="str">
        <x:v>macOS 26.5.2, arm64, isolated storage root, presentation-only recording state, production PID 53535 unchanged</x:v>
      </x:c>
      <x:c r="G84" s="19" t="str">
        <x:v>No recording is active.</x:v>
      </x:c>
      <x:c r="H84" s="19" t="str">
        <x:v>Execute the behavior in the isolated dev app when safely reachable; otherwise preserve the explicit blocker. Dev-only recording flow</x:v>
      </x:c>
      <x:c r="I84" s="19" t="str">
        <x:v>The recorder requests access and starts a new selected session.</x:v>
      </x:c>
      <x:c r="J84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84" s="19" t="str">
        <x:v>Blocked</x:v>
      </x:c>
      <x:c r="L84" s="19" t="str">
        <x:v>/tmp/cepessa-liquidqa-full-final.log</x:v>
      </x:c>
      <x:c r="M84" s="19" t="str">
        <x:v>Codex independent verification</x:v>
      </x:c>
      <x:c r="N84" s="19" t="n">
        <x:v>46230.270833333336</x:v>
      </x:c>
      <x:c r="O84" s="19" t="str">
        <x:v>Incomplete, not failed: no runtime claim is inferred from source or the passing Swift suite.</x:v>
      </x:c>
    </x:row>
    <x:row r="85" ht="72" customHeight="1">
      <x:c r="A85" s="19" t="str">
        <x:v>T-0084</x:v>
      </x:c>
      <x:c r="B85" s="19" t="str">
        <x:v>RUN-20260727-02</x:v>
      </x:c>
      <x:c r="C85" s="19" t="str">
        <x:v>B-0009</x:v>
      </x:c>
      <x:c r="D85" s="19" t="str">
        <x:v>Final regression</x:v>
      </x:c>
      <x:c r="E85" s="19" t="str">
        <x:v>Isolated debug build, bundle me.cepessa.sessions.liquidqafinal; Swift suite 158 tests, 1 intentional skip, 0 failures</x:v>
      </x:c>
      <x:c r="F85" s="19" t="str">
        <x:v>macOS 26.5.2, arm64, isolated storage root, presentation-only recording state, production PID 53535 unchanged</x:v>
      </x:c>
      <x:c r="G85" s="19" t="str">
        <x:v>Recording is active.</x:v>
      </x:c>
      <x:c r="H85" s="19" t="str">
        <x:v>Execute the behavior in the isolated dev app when safely reachable; otherwise preserve the explicit blocker. Dev-only recording flow</x:v>
      </x:c>
      <x:c r="I85" s="19" t="str">
        <x:v>Capture stops and final transcription begins.</x:v>
      </x:c>
      <x:c r="J85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85" s="19" t="str">
        <x:v>Blocked</x:v>
      </x:c>
      <x:c r="L85" s="19" t="str">
        <x:v>/tmp/cepessa-liquidqa-full-final.log</x:v>
      </x:c>
      <x:c r="M85" s="19" t="str">
        <x:v>Codex independent verification</x:v>
      </x:c>
      <x:c r="N85" s="19" t="n">
        <x:v>46230.270833333336</x:v>
      </x:c>
      <x:c r="O85" s="19" t="str">
        <x:v>Incomplete, not failed: no runtime claim is inferred from source or the passing Swift suite.</x:v>
      </x:c>
    </x:row>
    <x:row r="86" ht="72" customHeight="1">
      <x:c r="A86" s="19" t="str">
        <x:v>T-0085</x:v>
      </x:c>
      <x:c r="B86" s="19" t="str">
        <x:v>RUN-20260727-02</x:v>
      </x:c>
      <x:c r="C86" s="19" t="str">
        <x:v>B-0010</x:v>
      </x:c>
      <x:c r="D86" s="19" t="str">
        <x:v>Final regression</x:v>
      </x:c>
      <x:c r="E86" s="19" t="str">
        <x:v>Isolated debug build, bundle me.cepessa.sessions.liquidqafinal; Swift suite 158 tests, 1 intentional skip, 0 failures</x:v>
      </x:c>
      <x:c r="F86" s="19" t="str">
        <x:v>macOS 26.5.2, arm64, isolated storage root, presentation-only recording state, production PID 53535 unchanged</x:v>
      </x:c>
      <x:c r="G86" s="19" t="str">
        <x:v>A failed selected session retains local audio and is not processing.</x:v>
      </x:c>
      <x:c r="H86" s="19" t="str">
        <x:v>Execute the behavior in the isolated dev app when safely reachable; otherwise preserve the explicit blocker. Copied fixture + dev app</x:v>
      </x:c>
      <x:c r="I86" s="19" t="str">
        <x:v>Transcript and recap reset and local transcription reruns.</x:v>
      </x:c>
      <x:c r="J86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86" s="19" t="str">
        <x:v>Blocked</x:v>
      </x:c>
      <x:c r="L86" s="19" t="str">
        <x:v>/tmp/cepessa-liquidqa-full-final.log</x:v>
      </x:c>
      <x:c r="M86" s="19" t="str">
        <x:v>Codex independent verification</x:v>
      </x:c>
      <x:c r="N86" s="19" t="n">
        <x:v>46230.270833333336</x:v>
      </x:c>
      <x:c r="O86" s="19" t="str">
        <x:v>Incomplete, not failed: no runtime claim is inferred from source or the passing Swift suite.</x:v>
      </x:c>
    </x:row>
    <x:row r="87" ht="72" customHeight="1">
      <x:c r="A87" s="19" t="str">
        <x:v>T-0086</x:v>
      </x:c>
      <x:c r="B87" s="19" t="str">
        <x:v>RUN-20260727-02</x:v>
      </x:c>
      <x:c r="C87" s="19" t="str">
        <x:v>B-0011</x:v>
      </x:c>
      <x:c r="D87" s="19" t="str">
        <x:v>Final regression</x:v>
      </x:c>
      <x:c r="E87" s="19" t="str">
        <x:v>Isolated debug build, bundle me.cepessa.sessions.liquidqafinal; Swift suite 158 tests, 1 intentional skip, 0 failures</x:v>
      </x:c>
      <x:c r="F87" s="19" t="str">
        <x:v>macOS 26.5.2, arm64, isolated storage root, presentation-only recording state, production PID 53535 unchanged</x:v>
      </x:c>
      <x:c r="G87" s="19" t="str">
        <x:v>Stored sessions exist.</x:v>
      </x:c>
      <x:c r="H87" s="19" t="str">
        <x:v>Execute the behavior in the isolated dev app when safely reachable; otherwise preserve the explicit blocker. Seeded local fixture + menu inspection</x:v>
      </x:c>
      <x:c r="I87" s="19" t="str">
        <x:v>Up to the five newest sessions are listed.</x:v>
      </x:c>
      <x:c r="J87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87" s="19" t="str">
        <x:v>Blocked</x:v>
      </x:c>
      <x:c r="L87" s="19" t="str">
        <x:v>/tmp/cepessa-liquidqa-full-final.log</x:v>
      </x:c>
      <x:c r="M87" s="19" t="str">
        <x:v>Codex independent verification</x:v>
      </x:c>
      <x:c r="N87" s="19" t="n">
        <x:v>46230.270833333336</x:v>
      </x:c>
      <x:c r="O87" s="19" t="str">
        <x:v>Incomplete, not failed: no runtime claim is inferred from source or the passing Swift suite.</x:v>
      </x:c>
    </x:row>
    <x:row r="88" ht="72" customHeight="1">
      <x:c r="A88" s="19" t="str">
        <x:v>T-0087</x:v>
      </x:c>
      <x:c r="B88" s="19" t="str">
        <x:v>RUN-20260727-02</x:v>
      </x:c>
      <x:c r="C88" s="19" t="str">
        <x:v>B-0012</x:v>
      </x:c>
      <x:c r="D88" s="19" t="str">
        <x:v>Final regression</x:v>
      </x:c>
      <x:c r="E88" s="19" t="str">
        <x:v>Isolated debug build, bundle me.cepessa.sessions.liquidqafinal; Swift suite 158 tests, 1 intentional skip, 0 failures</x:v>
      </x:c>
      <x:c r="F88" s="19" t="str">
        <x:v>macOS 26.5.2, arm64, isolated storage root, presentation-only recording state, production PID 53535 unchanged</x:v>
      </x:c>
      <x:c r="G88" s="19" t="str">
        <x:v>A recent session is listed.</x:v>
      </x:c>
      <x:c r="H88" s="19" t="str">
        <x:v>Execute the behavior in the isolated dev app when safely reachable; otherwise preserve the explicit blocker. Seeded fixture + agent-swift</x:v>
      </x:c>
      <x:c r="I88" s="19" t="str">
        <x:v>That session becomes selected and the reading window opens.</x:v>
      </x:c>
      <x:c r="J88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88" s="19" t="str">
        <x:v>Blocked</x:v>
      </x:c>
      <x:c r="L88" s="19" t="str">
        <x:v>/tmp/cepessa-liquidqa-full-final.log</x:v>
      </x:c>
      <x:c r="M88" s="19" t="str">
        <x:v>Codex independent verification</x:v>
      </x:c>
      <x:c r="N88" s="19" t="n">
        <x:v>46230.270833333336</x:v>
      </x:c>
      <x:c r="O88" s="19" t="str">
        <x:v>Incomplete, not failed: no runtime claim is inferred from source or the passing Swift suite.</x:v>
      </x:c>
    </x:row>
    <x:row r="89" ht="72" customHeight="1">
      <x:c r="A89" s="19" t="str">
        <x:v>T-0088</x:v>
      </x:c>
      <x:c r="B89" s="19" t="str">
        <x:v>RUN-20260727-02</x:v>
      </x:c>
      <x:c r="C89" s="19" t="str">
        <x:v>B-0013</x:v>
      </x:c>
      <x:c r="D89" s="19" t="str">
        <x:v>Final regression</x:v>
      </x:c>
      <x:c r="E89" s="19" t="str">
        <x:v>Isolated debug build, bundle me.cepessa.sessions.liquidqafinal; Swift suite 158 tests, 1 intentional skip, 0 failures</x:v>
      </x:c>
      <x:c r="F89" s="19" t="str">
        <x:v>macOS 26.5.2, arm64, isolated storage root, presentation-only recording state, production PID 53535 unchanged</x:v>
      </x:c>
      <x:c r="G89" s="19" t="str">
        <x:v>A status or floating menu is open.</x:v>
      </x:c>
      <x:c r="H89" s="19" t="str">
        <x:v>Execute the behavior in the isolated dev app when safely reachable; otherwise preserve the explicit blocker. Agent-swift</x:v>
      </x:c>
      <x:c r="I89" s="19" t="str">
        <x:v>The main window routes to the reading view.</x:v>
      </x:c>
      <x:c r="J89" s="19" t="str">
        <x:v>All Sessions opened the native reading window with a truthful empty state and session toolbar.</x:v>
      </x:c>
      <x:c r="K89" s="19" t="str">
        <x:v>Pass</x:v>
      </x:c>
      <x:c r="L89" s="19" t="str">
        <x:v>/tmp/cepessa-liquidqa-sessions2.png; /tmp/cepessa-liquidqa-sessions2.json</x:v>
      </x:c>
      <x:c r="M89" s="19" t="str">
        <x:v>Codex independent verification</x:v>
      </x:c>
      <x:c r="N89" s="19" t="n">
        <x:v>46230.270833333336</x:v>
      </x:c>
      <x:c r="O89" s="19" t="str"/>
    </x:row>
    <x:row r="90" ht="72" customHeight="1">
      <x:c r="A90" s="19" t="str">
        <x:v>T-0089</x:v>
      </x:c>
      <x:c r="B90" s="19" t="str">
        <x:v>RUN-20260727-02</x:v>
      </x:c>
      <x:c r="C90" s="19" t="str">
        <x:v>B-0014</x:v>
      </x:c>
      <x:c r="D90" s="19" t="str">
        <x:v>Final regression</x:v>
      </x:c>
      <x:c r="E90" s="19" t="str">
        <x:v>Isolated debug build, bundle me.cepessa.sessions.liquidqafinal; Swift suite 158 tests, 1 intentional skip, 0 failures</x:v>
      </x:c>
      <x:c r="F90" s="19" t="str">
        <x:v>macOS 26.5.2, arm64, isolated storage root, presentation-only recording state, production PID 53535 unchanged</x:v>
      </x:c>
      <x:c r="G90" s="19" t="str">
        <x:v>A status or floating menu is open.</x:v>
      </x:c>
      <x:c r="H90" s="19" t="str">
        <x:v>Execute the behavior in the isolated dev app when safely reachable; otherwise preserve the explicit blocker. Agent-swift</x:v>
      </x:c>
      <x:c r="I90" s="19" t="str">
        <x:v>The main window routes to Clips.</x:v>
      </x:c>
      <x:c r="J90" s="19" t="str">
        <x:v>Clips routed the existing window to the native split-view workspace and removed the Sessions toolbar.</x:v>
      </x:c>
      <x:c r="K90" s="19" t="str">
        <x:v>Pass</x:v>
      </x:c>
      <x:c r="L90" s="19" t="str">
        <x:v>/tmp/cepessa-liquidqa-clips.png; /tmp/cepessa-liquidqa-clips-snapshot.json</x:v>
      </x:c>
      <x:c r="M90" s="19" t="str">
        <x:v>Codex independent verification</x:v>
      </x:c>
      <x:c r="N90" s="19" t="n">
        <x:v>46230.270833333336</x:v>
      </x:c>
      <x:c r="O90" s="19" t="str"/>
    </x:row>
    <x:row r="91" ht="72" customHeight="1">
      <x:c r="A91" s="19" t="str">
        <x:v>T-0090</x:v>
      </x:c>
      <x:c r="B91" s="19" t="str">
        <x:v>RUN-20260727-02</x:v>
      </x:c>
      <x:c r="C91" s="19" t="str">
        <x:v>B-0015</x:v>
      </x:c>
      <x:c r="D91" s="19" t="str">
        <x:v>Final regression</x:v>
      </x:c>
      <x:c r="E91" s="19" t="str">
        <x:v>Isolated debug build, bundle me.cepessa.sessions.liquidqafinal; Swift suite 158 tests, 1 intentional skip, 0 failures</x:v>
      </x:c>
      <x:c r="F91" s="19" t="str">
        <x:v>macOS 26.5.2, arm64, isolated storage root, presentation-only recording state, production PID 53535 unchanged</x:v>
      </x:c>
      <x:c r="G91" s="19" t="str">
        <x:v>The native audio-import panel is open.</x:v>
      </x:c>
      <x:c r="H91" s="19" t="str">
        <x:v>Execute the behavior in the isolated dev app when safely reachable; otherwise preserve the explicit blocker. Dev app + temporary fixture</x:v>
      </x:c>
      <x:c r="I91" s="19" t="str">
        <x:v>No session or file mutation occurs.</x:v>
      </x:c>
      <x:c r="J91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91" s="19" t="str">
        <x:v>Blocked</x:v>
      </x:c>
      <x:c r="L91" s="19" t="str">
        <x:v>/tmp/cepessa-liquidqa-full-final.log</x:v>
      </x:c>
      <x:c r="M91" s="19" t="str">
        <x:v>Codex independent verification</x:v>
      </x:c>
      <x:c r="N91" s="19" t="n">
        <x:v>46230.270833333336</x:v>
      </x:c>
      <x:c r="O91" s="19" t="str">
        <x:v>Incomplete, not failed: no runtime claim is inferred from source or the passing Swift suite.</x:v>
      </x:c>
    </x:row>
    <x:row r="92" ht="72" customHeight="1">
      <x:c r="A92" s="19" t="str">
        <x:v>T-0091</x:v>
      </x:c>
      <x:c r="B92" s="19" t="str">
        <x:v>RUN-20260727-02</x:v>
      </x:c>
      <x:c r="C92" s="19" t="str">
        <x:v>B-0016</x:v>
      </x:c>
      <x:c r="D92" s="19" t="str">
        <x:v>Final regression</x:v>
      </x:c>
      <x:c r="E92" s="19" t="str">
        <x:v>Isolated debug build, bundle me.cepessa.sessions.liquidqafinal; Swift suite 158 tests, 1 intentional skip, 0 failures</x:v>
      </x:c>
      <x:c r="F92" s="19" t="str">
        <x:v>macOS 26.5.2, arm64, isolated storage root, presentation-only recording state, production PID 53535 unchanged</x:v>
      </x:c>
      <x:c r="G92" s="19" t="str">
        <x:v>A valid temporary audio fixture is available.</x:v>
      </x:c>
      <x:c r="H92" s="19" t="str">
        <x:v>Execute the behavior in the isolated dev app when safely reachable; otherwise preserve the explicit blocker. Dev app + copied fixture</x:v>
      </x:c>
      <x:c r="I92" s="19" t="str">
        <x:v>Audio is normalized, a selected transcribing session is created, and processing starts.</x:v>
      </x:c>
      <x:c r="J92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92" s="19" t="str">
        <x:v>Blocked</x:v>
      </x:c>
      <x:c r="L92" s="19" t="str">
        <x:v>/tmp/cepessa-liquidqa-full-final.log</x:v>
      </x:c>
      <x:c r="M92" s="19" t="str">
        <x:v>Codex independent verification</x:v>
      </x:c>
      <x:c r="N92" s="19" t="n">
        <x:v>46230.270833333336</x:v>
      </x:c>
      <x:c r="O92" s="19" t="str">
        <x:v>Incomplete, not failed: no runtime claim is inferred from source or the passing Swift suite.</x:v>
      </x:c>
    </x:row>
    <x:row r="93" ht="72" customHeight="1">
      <x:c r="A93" s="19" t="str">
        <x:v>T-0092</x:v>
      </x:c>
      <x:c r="B93" s="19" t="str">
        <x:v>RUN-20260727-02</x:v>
      </x:c>
      <x:c r="C93" s="19" t="str">
        <x:v>B-0017</x:v>
      </x:c>
      <x:c r="D93" s="19" t="str">
        <x:v>Final regression</x:v>
      </x:c>
      <x:c r="E93" s="19" t="str">
        <x:v>Isolated debug build, bundle me.cepessa.sessions.liquidqafinal; Swift suite 158 tests, 1 intentional skip, 0 failures</x:v>
      </x:c>
      <x:c r="F93" s="19" t="str">
        <x:v>macOS 26.5.2, arm64, isolated storage root, presentation-only recording state, production PID 53535 unchanged</x:v>
      </x:c>
      <x:c r="G93" s="19" t="str">
        <x:v>The selected import cannot be normalized.</x:v>
      </x:c>
      <x:c r="H93" s="19" t="str">
        <x:v>Execute the behavior in the isolated dev app when safely reachable; otherwise preserve the explicit blocker. Controlled invalid fixture</x:v>
      </x:c>
      <x:c r="I93" s="19" t="str">
        <x:v>The session becomes failed and the error state is published.</x:v>
      </x:c>
      <x:c r="J93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93" s="19" t="str">
        <x:v>Blocked</x:v>
      </x:c>
      <x:c r="L93" s="19" t="str">
        <x:v>/tmp/cepessa-liquidqa-full-final.log</x:v>
      </x:c>
      <x:c r="M93" s="19" t="str">
        <x:v>Codex independent verification</x:v>
      </x:c>
      <x:c r="N93" s="19" t="n">
        <x:v>46230.270833333336</x:v>
      </x:c>
      <x:c r="O93" s="19" t="str">
        <x:v>Incomplete, not failed: no runtime claim is inferred from source or the passing Swift suite.</x:v>
      </x:c>
    </x:row>
    <x:row r="94" ht="72" customHeight="1">
      <x:c r="A94" s="19" t="str">
        <x:v>T-0093</x:v>
      </x:c>
      <x:c r="B94" s="19" t="str">
        <x:v>RUN-20260727-02</x:v>
      </x:c>
      <x:c r="C94" s="19" t="str">
        <x:v>B-0018</x:v>
      </x:c>
      <x:c r="D94" s="19" t="str">
        <x:v>Final regression</x:v>
      </x:c>
      <x:c r="E94" s="19" t="str">
        <x:v>Isolated debug build, bundle me.cepessa.sessions.liquidqafinal; Swift suite 158 tests, 1 intentional skip, 0 failures</x:v>
      </x:c>
      <x:c r="F94" s="19" t="str">
        <x:v>macOS 26.5.2, arm64, isolated storage root, presentation-only recording state, production PID 53535 unchanged</x:v>
      </x:c>
      <x:c r="G94" s="19" t="str">
        <x:v>The floating bar is visible.</x:v>
      </x:c>
      <x:c r="H94" s="19" t="str">
        <x:v>Execute the behavior in the isolated dev app when safely reachable; otherwise preserve the explicit blocker. Agent-swift</x:v>
      </x:c>
      <x:c r="I94" s="19" t="str">
        <x:v>The bar becomes transiently hidden and the menu changes to Show.</x:v>
      </x:c>
      <x:c r="J94" s="19" t="str">
        <x:v>Hide removed the floating panel during recording while the menu bar remained visible.</x:v>
      </x:c>
      <x:c r="K94" s="19" t="str">
        <x:v>Pass</x:v>
      </x:c>
      <x:c r="L94" s="19" t="str">
        <x:v>/tmp/cepessa-liquidqa-hidden-recording.json; /tmp/cepessa-liquidqa-hidden-menu.json</x:v>
      </x:c>
      <x:c r="M94" s="19" t="str">
        <x:v>Codex independent verification</x:v>
      </x:c>
      <x:c r="N94" s="19" t="n">
        <x:v>46230.270833333336</x:v>
      </x:c>
      <x:c r="O94" s="19" t="str"/>
    </x:row>
    <x:row r="95" ht="72" customHeight="1">
      <x:c r="A95" s="19" t="str">
        <x:v>T-0094</x:v>
      </x:c>
      <x:c r="B95" s="19" t="str">
        <x:v>RUN-20260727-02</x:v>
      </x:c>
      <x:c r="C95" s="19" t="str">
        <x:v>B-0019</x:v>
      </x:c>
      <x:c r="D95" s="19" t="str">
        <x:v>Final regression</x:v>
      </x:c>
      <x:c r="E95" s="19" t="str">
        <x:v>Isolated debug build, bundle me.cepessa.sessions.liquidqafinal; Swift suite 158 tests, 1 intentional skip, 0 failures</x:v>
      </x:c>
      <x:c r="F95" s="19" t="str">
        <x:v>macOS 26.5.2, arm64, isolated storage root, presentation-only recording state, production PID 53535 unchanged</x:v>
      </x:c>
      <x:c r="G95" s="19" t="str">
        <x:v>The floating bar is hidden.</x:v>
      </x:c>
      <x:c r="H95" s="19" t="str">
        <x:v>Execute the behavior in the isolated dev app when safely reachable; otherwise preserve the explicit blocker. Agent-swift</x:v>
      </x:c>
      <x:c r="I95" s="19" t="str">
        <x:v>The preference becomes enabled and the bar reappears.</x:v>
      </x:c>
      <x:c r="J95" s="19" t="str">
        <x:v>The hidden-state menu exposed Show Recording Indicator and the state-reset path restored the idle indicator.</x:v>
      </x:c>
      <x:c r="K95" s="19" t="str">
        <x:v>Pass</x:v>
      </x:c>
      <x:c r="L95" s="19" t="str">
        <x:v>/tmp/cepessa-liquidqa-hidden-menu.json; /tmp/cepessa-liquidqa-after-stop-late.json</x:v>
      </x:c>
      <x:c r="M95" s="19" t="str">
        <x:v>Codex independent verification</x:v>
      </x:c>
      <x:c r="N95" s="19" t="n">
        <x:v>46230.270833333336</x:v>
      </x:c>
      <x:c r="O95" s="19" t="str"/>
    </x:row>
    <x:row r="96" ht="72" customHeight="1">
      <x:c r="A96" s="19" t="str">
        <x:v>T-0095</x:v>
      </x:c>
      <x:c r="B96" s="19" t="str">
        <x:v>RUN-20260727-02</x:v>
      </x:c>
      <x:c r="C96" s="19" t="str">
        <x:v>B-0020</x:v>
      </x:c>
      <x:c r="D96" s="19" t="str">
        <x:v>Final regression</x:v>
      </x:c>
      <x:c r="E96" s="19" t="str">
        <x:v>Isolated debug build, bundle me.cepessa.sessions.liquidqafinal; Swift suite 158 tests, 1 intentional skip, 0 failures</x:v>
      </x:c>
      <x:c r="F96" s="19" t="str">
        <x:v>macOS 26.5.2, arm64, isolated storage root, presentation-only recording state, production PID 53535 unchanged</x:v>
      </x:c>
      <x:c r="G96" s="19" t="str">
        <x:v>The idle floating bar is visible.</x:v>
      </x:c>
      <x:c r="H96" s="19" t="str">
        <x:v>Execute the behavior in the isolated dev app when safely reachable; otherwise preserve the explicit blocker. Dev-only recording + agent-swift</x:v>
      </x:c>
      <x:c r="I96" s="19" t="str">
        <x:v>Recording starts and the bar enters collapsed recording mode.</x:v>
      </x:c>
      <x:c r="J96" s="19" t="str">
        <x:v>The safe presentation harness changed the indicator from 22×22 idle to 66×22 recording.</x:v>
      </x:c>
      <x:c r="K96" s="19" t="str">
        <x:v>Pass</x:v>
      </x:c>
      <x:c r="L96" s="19" t="str">
        <x:v>/tmp/cepessa-liquidqa-ax-final-idle.json; /tmp/cepessa-liquidqa-ax-final-recording.json</x:v>
      </x:c>
      <x:c r="M96" s="19" t="str">
        <x:v>Codex independent verification</x:v>
      </x:c>
      <x:c r="N96" s="19" t="n">
        <x:v>46230.270833333336</x:v>
      </x:c>
      <x:c r="O96" s="19" t="str"/>
    </x:row>
    <x:row r="97" ht="72" customHeight="1">
      <x:c r="A97" s="19" t="str">
        <x:v>T-0096</x:v>
      </x:c>
      <x:c r="B97" s="19" t="str">
        <x:v>RUN-20260727-02</x:v>
      </x:c>
      <x:c r="C97" s="19" t="str">
        <x:v>B-0021</x:v>
      </x:c>
      <x:c r="D97" s="19" t="str">
        <x:v>Final regression</x:v>
      </x:c>
      <x:c r="E97" s="19" t="str">
        <x:v>Isolated debug build, bundle me.cepessa.sessions.liquidqafinal; Swift suite 158 tests, 1 intentional skip, 0 failures</x:v>
      </x:c>
      <x:c r="F97" s="19" t="str">
        <x:v>macOS 26.5.2, arm64, isolated storage root, presentation-only recording state, production PID 53535 unchanged</x:v>
      </x:c>
      <x:c r="G97" s="19" t="str">
        <x:v>Recording controls are collapsed.</x:v>
      </x:c>
      <x:c r="H97" s="19" t="str">
        <x:v>Execute the behavior in the isolated dev app when safely reachable; otherwise preserve the explicit blocker. Focused unit test + runtime geometry</x:v>
      </x:c>
      <x:c r="I97" s="19" t="str">
        <x:v>The lozenge geometry stays fixed and no controls appear without deliberate activation.</x:v>
      </x:c>
      <x:c r="J97" s="19" t="str">
        <x:v>Focused tests proved hover does not change geometry; runtime remained 66×22 until deliberate activation.</x:v>
      </x:c>
      <x:c r="K97" s="19" t="str">
        <x:v>Pass</x:v>
      </x:c>
      <x:c r="L97" s="19" t="str">
        <x:v>/tmp/cepessa-liquidqa-focused-final.log; /tmp/cepessa-liquidqa-ax-final-recording.json</x:v>
      </x:c>
      <x:c r="M97" s="19" t="str">
        <x:v>Codex independent verification</x:v>
      </x:c>
      <x:c r="N97" s="19" t="n">
        <x:v>46230.270833333336</x:v>
      </x:c>
      <x:c r="O97" s="19" t="str"/>
    </x:row>
    <x:row r="98" ht="72" customHeight="1">
      <x:c r="A98" s="19" t="str">
        <x:v>T-0097</x:v>
      </x:c>
      <x:c r="B98" s="19" t="str">
        <x:v>RUN-20260727-02</x:v>
      </x:c>
      <x:c r="C98" s="19" t="str">
        <x:v>B-0022</x:v>
      </x:c>
      <x:c r="D98" s="19" t="str">
        <x:v>Final regression</x:v>
      </x:c>
      <x:c r="E98" s="19" t="str">
        <x:v>Isolated debug build, bundle me.cepessa.sessions.liquidqafinal; Swift suite 158 tests, 1 intentional skip, 0 failures</x:v>
      </x:c>
      <x:c r="F98" s="19" t="str">
        <x:v>macOS 26.5.2, arm64, isolated storage root, presentation-only recording state, production PID 53535 unchanged</x:v>
      </x:c>
      <x:c r="G98" s="19" t="str">
        <x:v>Recording controls are collapsed.</x:v>
      </x:c>
      <x:c r="H98" s="19" t="str">
        <x:v>Execute the behavior in the isolated dev app when safely reachable; otherwise preserve the explicit blocker. Agent-swift + focused unit test</x:v>
      </x:c>
      <x:c r="I98" s="19" t="str">
        <x:v>A compact 220×30 control tray opens.</x:v>
      </x:c>
      <x:c r="J98" s="19" t="str">
        <x:v>The default accessibility action opened the compact recording control tray.</x:v>
      </x:c>
      <x:c r="K98" s="19" t="str">
        <x:v>Pass</x:v>
      </x:c>
      <x:c r="L98" s="19" t="str">
        <x:v>/tmp/cepessa-liquidqa-recording-tray5.json; /tmp/cepessa-liquidqa-recording-tray5.png</x:v>
      </x:c>
      <x:c r="M98" s="19" t="str">
        <x:v>Codex independent verification</x:v>
      </x:c>
      <x:c r="N98" s="19" t="n">
        <x:v>46230.270833333336</x:v>
      </x:c>
      <x:c r="O98" s="19" t="str"/>
    </x:row>
    <x:row r="99" ht="72" customHeight="1">
      <x:c r="A99" s="19" t="str">
        <x:v>T-0098</x:v>
      </x:c>
      <x:c r="B99" s="19" t="str">
        <x:v>RUN-20260727-02</x:v>
      </x:c>
      <x:c r="C99" s="19" t="str">
        <x:v>B-0023</x:v>
      </x:c>
      <x:c r="D99" s="19" t="str">
        <x:v>Final regression</x:v>
      </x:c>
      <x:c r="E99" s="19" t="str">
        <x:v>Isolated debug build, bundle me.cepessa.sessions.liquidqafinal; Swift suite 158 tests, 1 intentional skip, 0 failures</x:v>
      </x:c>
      <x:c r="F99" s="19" t="str">
        <x:v>macOS 26.5.2, arm64, isolated storage root, presentation-only recording state, production PID 53535 unchanged</x:v>
      </x:c>
      <x:c r="G99" s="19" t="str">
        <x:v>Recording controls are expanded.</x:v>
      </x:c>
      <x:c r="H99" s="19" t="str">
        <x:v>Execute the behavior in the isolated dev app when safely reachable; otherwise preserve the explicit blocker. Agent-swift</x:v>
      </x:c>
      <x:c r="I99" s="19" t="str">
        <x:v>Controls collapse.</x:v>
      </x:c>
      <x:c r="J99" s="19" t="str">
        <x:v>The tray exposed an explicit minimize control and Escape/default-action behavior is covered by focused tests.</x:v>
      </x:c>
      <x:c r="K99" s="19" t="str">
        <x:v>Pass</x:v>
      </x:c>
      <x:c r="L99" s="19" t="str">
        <x:v>/tmp/cepessa-liquidqa-recording-tray5.json; /tmp/cepessa-liquidqa-focused-final.log</x:v>
      </x:c>
      <x:c r="M99" s="19" t="str">
        <x:v>Codex independent verification</x:v>
      </x:c>
      <x:c r="N99" s="19" t="n">
        <x:v>46230.270833333336</x:v>
      </x:c>
      <x:c r="O99" s="19" t="str"/>
    </x:row>
    <x:row r="100" ht="72" customHeight="1">
      <x:c r="A100" s="19" t="str">
        <x:v>T-0099</x:v>
      </x:c>
      <x:c r="B100" s="19" t="str">
        <x:v>RUN-20260727-02</x:v>
      </x:c>
      <x:c r="C100" s="19" t="str">
        <x:v>B-0024</x:v>
      </x:c>
      <x:c r="D100" s="19" t="str">
        <x:v>Final regression</x:v>
      </x:c>
      <x:c r="E100" s="19" t="str">
        <x:v>Isolated debug build, bundle me.cepessa.sessions.liquidqafinal; Swift suite 158 tests, 1 intentional skip, 0 failures</x:v>
      </x:c>
      <x:c r="F100" s="19" t="str">
        <x:v>macOS 26.5.2, arm64, isolated storage root, presentation-only recording state, production PID 53535 unchanged</x:v>
      </x:c>
      <x:c r="G100" s="19" t="str">
        <x:v>Recording is active and the bar is visible.</x:v>
      </x:c>
      <x:c r="H100" s="19" t="str">
        <x:v>Execute the behavior in the isolated dev app when safely reachable; otherwise preserve the explicit blocker. Dev-only recording + agent-swift</x:v>
      </x:c>
      <x:c r="I100" s="19" t="str">
        <x:v>The bar hides until the recording state resets or Show is used.</x:v>
      </x:c>
      <x:c r="J100" s="19" t="str">
        <x:v>Hide removed the tray and indicator for the current recording; the menu retained Show and Stop.</x:v>
      </x:c>
      <x:c r="K100" s="19" t="str">
        <x:v>Pass</x:v>
      </x:c>
      <x:c r="L100" s="19" t="str">
        <x:v>/tmp/cepessa-liquidqa-hidden-menu.json</x:v>
      </x:c>
      <x:c r="M100" s="19" t="str">
        <x:v>Codex independent verification</x:v>
      </x:c>
      <x:c r="N100" s="19" t="n">
        <x:v>46230.270833333336</x:v>
      </x:c>
      <x:c r="O100" s="19" t="str"/>
    </x:row>
    <x:row r="101" ht="72" customHeight="1">
      <x:c r="A101" s="19" t="str">
        <x:v>T-0100</x:v>
      </x:c>
      <x:c r="B101" s="19" t="str">
        <x:v>RUN-20260727-02</x:v>
      </x:c>
      <x:c r="C101" s="19" t="str">
        <x:v>B-0025</x:v>
      </x:c>
      <x:c r="D101" s="19" t="str">
        <x:v>Final regression</x:v>
      </x:c>
      <x:c r="E101" s="19" t="str">
        <x:v>Isolated debug build, bundle me.cepessa.sessions.liquidqafinal; Swift suite 158 tests, 1 intentional skip, 0 failures</x:v>
      </x:c>
      <x:c r="F101" s="19" t="str">
        <x:v>macOS 26.5.2, arm64, isolated storage root, presentation-only recording state, production PID 53535 unchanged</x:v>
      </x:c>
      <x:c r="G101" s="19" t="str">
        <x:v>Recording is active and the mic is unmuted.</x:v>
      </x:c>
      <x:c r="H101" s="19" t="str">
        <x:v>Execute the behavior in the isolated dev app when safely reachable; otherwise preserve the explicit blocker. Dev-only audio fixture + state inspection</x:v>
      </x:c>
      <x:c r="I101" s="19" t="str">
        <x:v>The transcript mix becomes system-only and the microphone level becomes zero.</x:v>
      </x:c>
      <x:c r="J101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01" s="19" t="str">
        <x:v>Blocked</x:v>
      </x:c>
      <x:c r="L101" s="19" t="str">
        <x:v>/tmp/cepessa-liquidqa-full-final.log</x:v>
      </x:c>
      <x:c r="M101" s="19" t="str">
        <x:v>Codex independent verification</x:v>
      </x:c>
      <x:c r="N101" s="19" t="n">
        <x:v>46230.270833333336</x:v>
      </x:c>
      <x:c r="O101" s="19" t="str">
        <x:v>Incomplete, not failed: no runtime claim is inferred from source or the passing Swift suite.</x:v>
      </x:c>
    </x:row>
    <x:row r="102" ht="72" customHeight="1">
      <x:c r="A102" s="19" t="str">
        <x:v>T-0101</x:v>
      </x:c>
      <x:c r="B102" s="19" t="str">
        <x:v>RUN-20260727-02</x:v>
      </x:c>
      <x:c r="C102" s="19" t="str">
        <x:v>B-0026</x:v>
      </x:c>
      <x:c r="D102" s="19" t="str">
        <x:v>Final regression</x:v>
      </x:c>
      <x:c r="E102" s="19" t="str">
        <x:v>Isolated debug build, bundle me.cepessa.sessions.liquidqafinal; Swift suite 158 tests, 1 intentional skip, 0 failures</x:v>
      </x:c>
      <x:c r="F102" s="19" t="str">
        <x:v>macOS 26.5.2, arm64, isolated storage root, presentation-only recording state, production PID 53535 unchanged</x:v>
      </x:c>
      <x:c r="G102" s="19" t="str">
        <x:v>Recording is active and the mic is muted.</x:v>
      </x:c>
      <x:c r="H102" s="19" t="str">
        <x:v>Execute the behavior in the isolated dev app when safely reachable; otherwise preserve the explicit blocker. Dev-only audio fixture + state inspection</x:v>
      </x:c>
      <x:c r="I102" s="19" t="str">
        <x:v>The prior mix mode is restored.</x:v>
      </x:c>
      <x:c r="J102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02" s="19" t="str">
        <x:v>Blocked</x:v>
      </x:c>
      <x:c r="L102" s="19" t="str">
        <x:v>/tmp/cepessa-liquidqa-full-final.log</x:v>
      </x:c>
      <x:c r="M102" s="19" t="str">
        <x:v>Codex independent verification</x:v>
      </x:c>
      <x:c r="N102" s="19" t="n">
        <x:v>46230.270833333336</x:v>
      </x:c>
      <x:c r="O102" s="19" t="str">
        <x:v>Incomplete, not failed: no runtime claim is inferred from source or the passing Swift suite.</x:v>
      </x:c>
    </x:row>
    <x:row r="103" ht="72" customHeight="1">
      <x:c r="A103" s="19" t="str">
        <x:v>T-0102</x:v>
      </x:c>
      <x:c r="B103" s="19" t="str">
        <x:v>RUN-20260727-02</x:v>
      </x:c>
      <x:c r="C103" s="19" t="str">
        <x:v>B-0027</x:v>
      </x:c>
      <x:c r="D103" s="19" t="str">
        <x:v>Final regression</x:v>
      </x:c>
      <x:c r="E103" s="19" t="str">
        <x:v>Isolated debug build, bundle me.cepessa.sessions.liquidqafinal; Swift suite 158 tests, 1 intentional skip, 0 failures</x:v>
      </x:c>
      <x:c r="F103" s="19" t="str">
        <x:v>macOS 26.5.2, arm64, isolated storage root, presentation-only recording state, production PID 53535 unchanged</x:v>
      </x:c>
      <x:c r="G103" s="19" t="str">
        <x:v>Recording capture sources change.</x:v>
      </x:c>
      <x:c r="H103" s="19" t="str">
        <x:v>Execute the behavior in the isolated dev app when safely reachable; otherwise preserve the explicit blocker. Injected capture-state test + UI inspection</x:v>
      </x:c>
      <x:c r="I103" s="19" t="str">
        <x:v>The health indicator resolves to healthy, partial, muted, or unavailable.</x:v>
      </x:c>
      <x:c r="J103" s="19" t="str">
        <x:v>Twenty-seven focused indicator tests covered geometry, drag persistence, recording-plus-warning precedence, capture health, idle, and processing state resolution.</x:v>
      </x:c>
      <x:c r="K103" s="19" t="str">
        <x:v>Pass</x:v>
      </x:c>
      <x:c r="L103" s="19" t="str">
        <x:v>/tmp/cepessa-liquidqa-focused-final2.log</x:v>
      </x:c>
      <x:c r="M103" s="19" t="str">
        <x:v>Codex independent verification</x:v>
      </x:c>
      <x:c r="N103" s="19" t="n">
        <x:v>46230.270833333336</x:v>
      </x:c>
      <x:c r="O103" s="19" t="str"/>
    </x:row>
    <x:row r="104" ht="72" customHeight="1">
      <x:c r="A104" s="19" t="str">
        <x:v>T-0103</x:v>
      </x:c>
      <x:c r="B104" s="19" t="str">
        <x:v>RUN-20260727-02</x:v>
      </x:c>
      <x:c r="C104" s="19" t="str">
        <x:v>B-0028</x:v>
      </x:c>
      <x:c r="D104" s="19" t="str">
        <x:v>Final regression</x:v>
      </x:c>
      <x:c r="E104" s="19" t="str">
        <x:v>Isolated debug build, bundle me.cepessa.sessions.liquidqafinal; Swift suite 158 tests, 1 intentional skip, 0 failures</x:v>
      </x:c>
      <x:c r="F104" s="19" t="str">
        <x:v>macOS 26.5.2, arm64, isolated storage root, presentation-only recording state, production PID 53535 unchanged</x:v>
      </x:c>
      <x:c r="G104" s="19" t="str">
        <x:v>Recording is active.</x:v>
      </x:c>
      <x:c r="H104" s="19" t="str">
        <x:v>Execute the behavior in the isolated dev app when safely reachable; otherwise preserve the explicit blocker. Presentation harness + screenshot evidence</x:v>
      </x:c>
      <x:c r="I104" s="19" t="str">
        <x:v>The 66×22 recording lozenge visibly reports elapsed time without a waveform dashboard.</x:v>
      </x:c>
      <x:c r="J104" s="19" t="str">
        <x:v>The recording lozenge visibly showed the red state ring and 00:42 timer in a 66×22 footprint.</x:v>
      </x:c>
      <x:c r="K104" s="19" t="str">
        <x:v>Pass</x:v>
      </x:c>
      <x:c r="L104" s="19" t="str">
        <x:v>/tmp/cepessa-liquidqa-final-recording.png; /tmp/cepessa-liquidqa-ax-final-recording.json</x:v>
      </x:c>
      <x:c r="M104" s="19" t="str">
        <x:v>Codex independent verification</x:v>
      </x:c>
      <x:c r="N104" s="19" t="n">
        <x:v>46230.270833333336</x:v>
      </x:c>
      <x:c r="O104" s="19" t="str"/>
    </x:row>
    <x:row r="105" ht="72" customHeight="1">
      <x:c r="A105" s="19" t="str">
        <x:v>T-0104</x:v>
      </x:c>
      <x:c r="B105" s="19" t="str">
        <x:v>RUN-20260727-02</x:v>
      </x:c>
      <x:c r="C105" s="19" t="str">
        <x:v>B-0029</x:v>
      </x:c>
      <x:c r="D105" s="19" t="str">
        <x:v>Final regression</x:v>
      </x:c>
      <x:c r="E105" s="19" t="str">
        <x:v>Isolated debug build, bundle me.cepessa.sessions.liquidqafinal; Swift suite 158 tests, 1 intentional skip, 0 failures</x:v>
      </x:c>
      <x:c r="F105" s="19" t="str">
        <x:v>macOS 26.5.2, arm64, isolated storage root, presentation-only recording state, production PID 53535 unchanged</x:v>
      </x:c>
      <x:c r="G105" s="19" t="str">
        <x:v>One display exists and recording is active.</x:v>
      </x:c>
      <x:c r="H105" s="19" t="str">
        <x:v>Execute the behavior in the isolated dev app when safely reachable; otherwise preserve the explicit blocker. Dev recording + temporary storage</x:v>
      </x:c>
      <x:c r="I105" s="19" t="str">
        <x:v>A full screenshot is captured and attached at the current session offset.</x:v>
      </x:c>
      <x:c r="J105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05" s="19" t="str">
        <x:v>Blocked</x:v>
      </x:c>
      <x:c r="L105" s="19" t="str">
        <x:v>/tmp/cepessa-liquidqa-full-final.log</x:v>
      </x:c>
      <x:c r="M105" s="19" t="str">
        <x:v>Codex independent verification</x:v>
      </x:c>
      <x:c r="N105" s="19" t="n">
        <x:v>46230.270833333336</x:v>
      </x:c>
      <x:c r="O105" s="19" t="str">
        <x:v>Incomplete, not failed: no runtime claim is inferred from source or the passing Swift suite.</x:v>
      </x:c>
    </x:row>
    <x:row r="106" ht="72" customHeight="1">
      <x:c r="A106" s="19" t="str">
        <x:v>T-0105</x:v>
      </x:c>
      <x:c r="B106" s="19" t="str">
        <x:v>RUN-20260727-02</x:v>
      </x:c>
      <x:c r="C106" s="19" t="str">
        <x:v>B-0030</x:v>
      </x:c>
      <x:c r="D106" s="19" t="str">
        <x:v>Final regression</x:v>
      </x:c>
      <x:c r="E106" s="19" t="str">
        <x:v>Isolated debug build, bundle me.cepessa.sessions.liquidqafinal; Swift suite 158 tests, 1 intentional skip, 0 failures</x:v>
      </x:c>
      <x:c r="F106" s="19" t="str">
        <x:v>macOS 26.5.2, arm64, isolated storage root, presentation-only recording state, production PID 53535 unchanged</x:v>
      </x:c>
      <x:c r="G106" s="19" t="str">
        <x:v>Multiple displays exist and recording is active.</x:v>
      </x:c>
      <x:c r="H106" s="19" t="str">
        <x:v>Execute the behavior in the isolated dev app when safely reachable; otherwise preserve the explicit blocker. Manual multi-display environment</x:v>
      </x:c>
      <x:c r="I106" s="19" t="str">
        <x:v>A display-selection menu appears before capture.</x:v>
      </x:c>
      <x:c r="J106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06" s="19" t="str">
        <x:v>Blocked</x:v>
      </x:c>
      <x:c r="L106" s="19" t="str">
        <x:v>/tmp/cepessa-liquidqa-full-final.log</x:v>
      </x:c>
      <x:c r="M106" s="19" t="str">
        <x:v>Codex independent verification</x:v>
      </x:c>
      <x:c r="N106" s="19" t="n">
        <x:v>46230.270833333336</x:v>
      </x:c>
      <x:c r="O106" s="19" t="str">
        <x:v>Incomplete, not failed: no runtime claim is inferred from source or the passing Swift suite.</x:v>
      </x:c>
    </x:row>
    <x:row r="107" ht="72" customHeight="1">
      <x:c r="A107" s="19" t="str">
        <x:v>T-0106</x:v>
      </x:c>
      <x:c r="B107" s="19" t="str">
        <x:v>RUN-20260727-02</x:v>
      </x:c>
      <x:c r="C107" s="19" t="str">
        <x:v>B-0031</x:v>
      </x:c>
      <x:c r="D107" s="19" t="str">
        <x:v>Final regression</x:v>
      </x:c>
      <x:c r="E107" s="19" t="str">
        <x:v>Isolated debug build, bundle me.cepessa.sessions.liquidqafinal; Swift suite 158 tests, 1 intentional skip, 0 failures</x:v>
      </x:c>
      <x:c r="F107" s="19" t="str">
        <x:v>macOS 26.5.2, arm64, isolated storage root, presentation-only recording state, production PID 53535 unchanged</x:v>
      </x:c>
      <x:c r="G107" s="19" t="str">
        <x:v>Recording is active.</x:v>
      </x:c>
      <x:c r="H107" s="19" t="str">
        <x:v>Execute the behavior in the isolated dev app when safely reachable; otherwise preserve the explicit blocker. Manual OS-mediated flow</x:v>
      </x:c>
      <x:c r="I107" s="19" t="str">
        <x:v>Interactive system region capture begins.</x:v>
      </x:c>
      <x:c r="J107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07" s="19" t="str">
        <x:v>Blocked</x:v>
      </x:c>
      <x:c r="L107" s="19" t="str">
        <x:v>/tmp/cepessa-liquidqa-full-final.log</x:v>
      </x:c>
      <x:c r="M107" s="19" t="str">
        <x:v>Codex independent verification</x:v>
      </x:c>
      <x:c r="N107" s="19" t="n">
        <x:v>46230.270833333336</x:v>
      </x:c>
      <x:c r="O107" s="19" t="str">
        <x:v>Incomplete, not failed: no runtime claim is inferred from source or the passing Swift suite.</x:v>
      </x:c>
    </x:row>
    <x:row r="108" ht="72" customHeight="1">
      <x:c r="A108" s="19" t="str">
        <x:v>T-0107</x:v>
      </x:c>
      <x:c r="B108" s="19" t="str">
        <x:v>RUN-20260727-02</x:v>
      </x:c>
      <x:c r="C108" s="19" t="str">
        <x:v>B-0032</x:v>
      </x:c>
      <x:c r="D108" s="19" t="str">
        <x:v>Final regression</x:v>
      </x:c>
      <x:c r="E108" s="19" t="str">
        <x:v>Isolated debug build, bundle me.cepessa.sessions.liquidqafinal; Swift suite 158 tests, 1 intentional skip, 0 failures</x:v>
      </x:c>
      <x:c r="F108" s="19" t="str">
        <x:v>macOS 26.5.2, arm64, isolated storage root, presentation-only recording state, production PID 53535 unchanged</x:v>
      </x:c>
      <x:c r="G108" s="19" t="str">
        <x:v>Recording is active and attachable temporary files exist.</x:v>
      </x:c>
      <x:c r="H108" s="19" t="str">
        <x:v>Execute the behavior in the isolated dev app when safely reachable; otherwise preserve the explicit blocker. Dev recording + temporary fixtures</x:v>
      </x:c>
      <x:c r="I108" s="19" t="str">
        <x:v>Each successful file is copied or attached and the success notice reports count and time.</x:v>
      </x:c>
      <x:c r="J108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08" s="19" t="str">
        <x:v>Blocked</x:v>
      </x:c>
      <x:c r="L108" s="19" t="str">
        <x:v>/tmp/cepessa-liquidqa-full-final.log</x:v>
      </x:c>
      <x:c r="M108" s="19" t="str">
        <x:v>Codex independent verification</x:v>
      </x:c>
      <x:c r="N108" s="19" t="n">
        <x:v>46230.270833333336</x:v>
      </x:c>
      <x:c r="O108" s="19" t="str">
        <x:v>Incomplete, not failed: no runtime claim is inferred from source or the passing Swift suite.</x:v>
      </x:c>
    </x:row>
    <x:row r="109" ht="72" customHeight="1">
      <x:c r="A109" s="19" t="str">
        <x:v>T-0108</x:v>
      </x:c>
      <x:c r="B109" s="19" t="str">
        <x:v>RUN-20260727-02</x:v>
      </x:c>
      <x:c r="C109" s="19" t="str">
        <x:v>B-0033</x:v>
      </x:c>
      <x:c r="D109" s="19" t="str">
        <x:v>Final regression</x:v>
      </x:c>
      <x:c r="E109" s="19" t="str">
        <x:v>Isolated debug build, bundle me.cepessa.sessions.liquidqafinal; Swift suite 158 tests, 1 intentional skip, 0 failures</x:v>
      </x:c>
      <x:c r="F109" s="19" t="str">
        <x:v>macOS 26.5.2, arm64, isolated storage root, presentation-only recording state, production PID 53535 unchanged</x:v>
      </x:c>
      <x:c r="G109" s="19" t="str">
        <x:v>All selected file attachments will fail.</x:v>
      </x:c>
      <x:c r="H109" s="19" t="str">
        <x:v>Execute the behavior in the isolated dev app when safely reachable; otherwise preserve the explicit blocker. Controlled unreadable fixture</x:v>
      </x:c>
      <x:c r="I109" s="19" t="str">
        <x:v>An error state and File attachment failed notice appear.</x:v>
      </x:c>
      <x:c r="J109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09" s="19" t="str">
        <x:v>Blocked</x:v>
      </x:c>
      <x:c r="L109" s="19" t="str">
        <x:v>/tmp/cepessa-liquidqa-full-final.log</x:v>
      </x:c>
      <x:c r="M109" s="19" t="str">
        <x:v>Codex independent verification</x:v>
      </x:c>
      <x:c r="N109" s="19" t="n">
        <x:v>46230.270833333336</x:v>
      </x:c>
      <x:c r="O109" s="19" t="str">
        <x:v>Incomplete, not failed: no runtime claim is inferred from source or the passing Swift suite.</x:v>
      </x:c>
    </x:row>
    <x:row r="110" ht="72" customHeight="1">
      <x:c r="A110" s="19" t="str">
        <x:v>T-0109</x:v>
      </x:c>
      <x:c r="B110" s="19" t="str">
        <x:v>RUN-20260727-02</x:v>
      </x:c>
      <x:c r="C110" s="19" t="str">
        <x:v>B-0034</x:v>
      </x:c>
      <x:c r="D110" s="19" t="str">
        <x:v>Final regression</x:v>
      </x:c>
      <x:c r="E110" s="19" t="str">
        <x:v>Isolated debug build, bundle me.cepessa.sessions.liquidqafinal; Swift suite 158 tests, 1 intentional skip, 0 failures</x:v>
      </x:c>
      <x:c r="F110" s="19" t="str">
        <x:v>macOS 26.5.2, arm64, isolated storage root, presentation-only recording state, production PID 53535 unchanged</x:v>
      </x:c>
      <x:c r="G110" s="19" t="str">
        <x:v>The floating bar is visible.</x:v>
      </x:c>
      <x:c r="H110" s="19" t="str">
        <x:v>Execute the behavior in the isolated dev app when safely reachable; otherwise preserve the explicit blocker. Agent-swift + relaunch dev app</x:v>
      </x:c>
      <x:c r="I110" s="19" t="str">
        <x:v>The origin is persisted and restored on future panel creation.</x:v>
      </x:c>
      <x:c r="J110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10" s="19" t="str">
        <x:v>Blocked</x:v>
      </x:c>
      <x:c r="L110" s="19" t="str">
        <x:v>/tmp/cepessa-liquidqa-full-final.log</x:v>
      </x:c>
      <x:c r="M110" s="19" t="str">
        <x:v>Codex independent verification</x:v>
      </x:c>
      <x:c r="N110" s="19" t="n">
        <x:v>46230.270833333336</x:v>
      </x:c>
      <x:c r="O110" s="19" t="str">
        <x:v>Incomplete, not failed: no runtime claim is inferred from source or the passing Swift suite.</x:v>
      </x:c>
    </x:row>
    <x:row r="111" ht="72" customHeight="1">
      <x:c r="A111" s="19" t="str">
        <x:v>T-0110</x:v>
      </x:c>
      <x:c r="B111" s="19" t="str">
        <x:v>RUN-20260727-02</x:v>
      </x:c>
      <x:c r="C111" s="19" t="str">
        <x:v>B-0035</x:v>
      </x:c>
      <x:c r="D111" s="19" t="str">
        <x:v>Final regression</x:v>
      </x:c>
      <x:c r="E111" s="19" t="str">
        <x:v>Isolated debug build, bundle me.cepessa.sessions.liquidqafinal; Swift suite 158 tests, 1 intentional skip, 0 failures</x:v>
      </x:c>
      <x:c r="F111" s="19" t="str">
        <x:v>macOS 26.5.2, arm64, isolated storage root, presentation-only recording state, production PID 53535 unchanged</x:v>
      </x:c>
      <x:c r="G111" s="19" t="str">
        <x:v>Import or transcription is active.</x:v>
      </x:c>
      <x:c r="H111" s="19" t="str">
        <x:v>Execute the behavior in the isolated dev app when safely reachable; otherwise preserve the explicit blocker. Fixture import + screenshot evidence</x:v>
      </x:c>
      <x:c r="I111" s="19" t="str">
        <x:v>The bar shows a spinner and percentage or stage title.</x:v>
      </x:c>
      <x:c r="J111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11" s="19" t="str">
        <x:v>Blocked</x:v>
      </x:c>
      <x:c r="L111" s="19" t="str">
        <x:v>/tmp/cepessa-liquidqa-full-final.log</x:v>
      </x:c>
      <x:c r="M111" s="19" t="str">
        <x:v>Codex independent verification</x:v>
      </x:c>
      <x:c r="N111" s="19" t="n">
        <x:v>46230.270833333336</x:v>
      </x:c>
      <x:c r="O111" s="19" t="str">
        <x:v>Incomplete, not failed: no runtime claim is inferred from source or the passing Swift suite.</x:v>
      </x:c>
    </x:row>
    <x:row r="112" ht="72" customHeight="1">
      <x:c r="A112" s="19" t="str">
        <x:v>T-0111</x:v>
      </x:c>
      <x:c r="B112" s="19" t="str">
        <x:v>RUN-20260727-02</x:v>
      </x:c>
      <x:c r="C112" s="19" t="str">
        <x:v>B-0036</x:v>
      </x:c>
      <x:c r="D112" s="19" t="str">
        <x:v>Final regression</x:v>
      </x:c>
      <x:c r="E112" s="19" t="str">
        <x:v>Isolated debug build, bundle me.cepessa.sessions.liquidqafinal; Swift suite 158 tests, 1 intentional skip, 0 failures</x:v>
      </x:c>
      <x:c r="F112" s="19" t="str">
        <x:v>macOS 26.5.2, arm64, isolated storage root, presentation-only recording state, production PID 53535 unchanged</x:v>
      </x:c>
      <x:c r="G112" s="19" t="str">
        <x:v>No session is selected.</x:v>
      </x:c>
      <x:c r="H112" s="19" t="str">
        <x:v>Execute the behavior in the isolated dev app when safely reachable; otherwise preserve the explicit blocker. Seeded empty state + agent-swift</x:v>
      </x:c>
      <x:c r="I112" s="19" t="str">
        <x:v>No session open appears.</x:v>
      </x:c>
      <x:c r="J112" s="19" t="str">
        <x:v>The Sessions window rendered a native No Session Open empty state.</x:v>
      </x:c>
      <x:c r="K112" s="19" t="str">
        <x:v>Pass</x:v>
      </x:c>
      <x:c r="L112" s="19" t="str">
        <x:v>/tmp/cepessa-liquidqa-sessions2.png</x:v>
      </x:c>
      <x:c r="M112" s="19" t="str">
        <x:v>Codex independent verification</x:v>
      </x:c>
      <x:c r="N112" s="19" t="n">
        <x:v>46230.270833333336</x:v>
      </x:c>
      <x:c r="O112" s="19" t="str"/>
    </x:row>
    <x:row r="113" ht="72" customHeight="1">
      <x:c r="A113" s="19" t="str">
        <x:v>T-0112</x:v>
      </x:c>
      <x:c r="B113" s="19" t="str">
        <x:v>RUN-20260727-02</x:v>
      </x:c>
      <x:c r="C113" s="19" t="str">
        <x:v>B-0037</x:v>
      </x:c>
      <x:c r="D113" s="19" t="str">
        <x:v>Final regression</x:v>
      </x:c>
      <x:c r="E113" s="19" t="str">
        <x:v>Isolated debug build, bundle me.cepessa.sessions.liquidqafinal; Swift suite 158 tests, 1 intentional skip, 0 failures</x:v>
      </x:c>
      <x:c r="F113" s="19" t="str">
        <x:v>macOS 26.5.2, arm64, isolated storage root, presentation-only recording state, production PID 53535 unchanged</x:v>
      </x:c>
      <x:c r="G113" s="19" t="str">
        <x:v>The selected session has no transcript text.</x:v>
      </x:c>
      <x:c r="H113" s="19" t="str">
        <x:v>Execute the behavior in the isolated dev app when safely reachable; otherwise preserve the explicit blocker. Seeded session fixture + agent-swift</x:v>
      </x:c>
      <x:c r="I113" s="19" t="str">
        <x:v>Transcript not ready directs the user to Transcribe.</x:v>
      </x:c>
      <x:c r="J113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13" s="19" t="str">
        <x:v>Blocked</x:v>
      </x:c>
      <x:c r="L113" s="19" t="str">
        <x:v>/tmp/cepessa-liquidqa-full-final.log</x:v>
      </x:c>
      <x:c r="M113" s="19" t="str">
        <x:v>Codex independent verification</x:v>
      </x:c>
      <x:c r="N113" s="19" t="n">
        <x:v>46230.270833333336</x:v>
      </x:c>
      <x:c r="O113" s="19" t="str">
        <x:v>Incomplete, not failed: no runtime claim is inferred from source or the passing Swift suite.</x:v>
      </x:c>
    </x:row>
    <x:row r="114" ht="72" customHeight="1">
      <x:c r="A114" s="19" t="str">
        <x:v>T-0113</x:v>
      </x:c>
      <x:c r="B114" s="19" t="str">
        <x:v>RUN-20260727-02</x:v>
      </x:c>
      <x:c r="C114" s="19" t="str">
        <x:v>B-0038</x:v>
      </x:c>
      <x:c r="D114" s="19" t="str">
        <x:v>Final regression</x:v>
      </x:c>
      <x:c r="E114" s="19" t="str">
        <x:v>Isolated debug build, bundle me.cepessa.sessions.liquidqafinal; Swift suite 158 tests, 1 intentional skip, 0 failures</x:v>
      </x:c>
      <x:c r="F114" s="19" t="str">
        <x:v>macOS 26.5.2, arm64, isolated storage root, presentation-only recording state, production PID 53535 unchanged</x:v>
      </x:c>
      <x:c r="G114" s="19" t="str">
        <x:v>The selected session has transcript segments.</x:v>
      </x:c>
      <x:c r="H114" s="19" t="str">
        <x:v>Execute the behavior in the isolated dev app when safely reachable; otherwise preserve the explicit blocker. Bilingual seeded fixture + screenshot/text inspection</x:v>
      </x:c>
      <x:c r="I114" s="19" t="str">
        <x:v>Each block shows speaker, relative time, and selectable text.</x:v>
      </x:c>
      <x:c r="J114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14" s="19" t="str">
        <x:v>Blocked</x:v>
      </x:c>
      <x:c r="L114" s="19" t="str">
        <x:v>/tmp/cepessa-liquidqa-full-final.log</x:v>
      </x:c>
      <x:c r="M114" s="19" t="str">
        <x:v>Codex independent verification</x:v>
      </x:c>
      <x:c r="N114" s="19" t="n">
        <x:v>46230.270833333336</x:v>
      </x:c>
      <x:c r="O114" s="19" t="str">
        <x:v>Incomplete, not failed: no runtime claim is inferred from source or the passing Swift suite.</x:v>
      </x:c>
    </x:row>
    <x:row r="115" ht="72" customHeight="1">
      <x:c r="A115" s="19" t="str">
        <x:v>T-0114</x:v>
      </x:c>
      <x:c r="B115" s="19" t="str">
        <x:v>RUN-20260727-02</x:v>
      </x:c>
      <x:c r="C115" s="19" t="str">
        <x:v>B-0039</x:v>
      </x:c>
      <x:c r="D115" s="19" t="str">
        <x:v>Final regression</x:v>
      </x:c>
      <x:c r="E115" s="19" t="str">
        <x:v>Isolated debug build, bundle me.cepessa.sessions.liquidqafinal; Swift suite 158 tests, 1 intentional skip, 0 failures</x:v>
      </x:c>
      <x:c r="F115" s="19" t="str">
        <x:v>macOS 26.5.2, arm64, isolated storage root, presentation-only recording state, production PID 53535 unchanged</x:v>
      </x:c>
      <x:c r="G115" s="19" t="str">
        <x:v>The timeline contains an image attachment.</x:v>
      </x:c>
      <x:c r="H115" s="19" t="str">
        <x:v>Execute the behavior in the isolated dev app when safely reachable; otherwise preserve the explicit blocker. Seeded attachment + agent-swift</x:v>
      </x:c>
      <x:c r="I115" s="19" t="str">
        <x:v>An enlarged image overlay appears.</x:v>
      </x:c>
      <x:c r="J115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15" s="19" t="str">
        <x:v>Blocked</x:v>
      </x:c>
      <x:c r="L115" s="19" t="str">
        <x:v>/tmp/cepessa-liquidqa-full-final.log</x:v>
      </x:c>
      <x:c r="M115" s="19" t="str">
        <x:v>Codex independent verification</x:v>
      </x:c>
      <x:c r="N115" s="19" t="n">
        <x:v>46230.270833333336</x:v>
      </x:c>
      <x:c r="O115" s="19" t="str">
        <x:v>Incomplete, not failed: no runtime claim is inferred from source or the passing Swift suite.</x:v>
      </x:c>
    </x:row>
    <x:row r="116" ht="72" customHeight="1">
      <x:c r="A116" s="19" t="str">
        <x:v>T-0115</x:v>
      </x:c>
      <x:c r="B116" s="19" t="str">
        <x:v>RUN-20260727-02</x:v>
      </x:c>
      <x:c r="C116" s="19" t="str">
        <x:v>B-0040</x:v>
      </x:c>
      <x:c r="D116" s="19" t="str">
        <x:v>Final regression</x:v>
      </x:c>
      <x:c r="E116" s="19" t="str">
        <x:v>Isolated debug build, bundle me.cepessa.sessions.liquidqafinal; Swift suite 158 tests, 1 intentional skip, 0 failures</x:v>
      </x:c>
      <x:c r="F116" s="19" t="str">
        <x:v>macOS 26.5.2, arm64, isolated storage root, presentation-only recording state, production PID 53535 unchanged</x:v>
      </x:c>
      <x:c r="G116" s="19" t="str">
        <x:v>The enlarged image overlay is open.</x:v>
      </x:c>
      <x:c r="H116" s="19" t="str">
        <x:v>Execute the behavior in the isolated dev app when safely reachable; otherwise preserve the explicit blocker. Agent-swift</x:v>
      </x:c>
      <x:c r="I116" s="19" t="str">
        <x:v>The overlay closes.</x:v>
      </x:c>
      <x:c r="J116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16" s="19" t="str">
        <x:v>Blocked</x:v>
      </x:c>
      <x:c r="L116" s="19" t="str">
        <x:v>/tmp/cepessa-liquidqa-full-final.log</x:v>
      </x:c>
      <x:c r="M116" s="19" t="str">
        <x:v>Codex independent verification</x:v>
      </x:c>
      <x:c r="N116" s="19" t="n">
        <x:v>46230.270833333336</x:v>
      </x:c>
      <x:c r="O116" s="19" t="str">
        <x:v>Incomplete, not failed: no runtime claim is inferred from source or the passing Swift suite.</x:v>
      </x:c>
    </x:row>
    <x:row r="117" ht="72" customHeight="1">
      <x:c r="A117" s="19" t="str">
        <x:v>T-0116</x:v>
      </x:c>
      <x:c r="B117" s="19" t="str">
        <x:v>RUN-20260727-02</x:v>
      </x:c>
      <x:c r="C117" s="19" t="str">
        <x:v>B-0041</x:v>
      </x:c>
      <x:c r="D117" s="19" t="str">
        <x:v>Final regression</x:v>
      </x:c>
      <x:c r="E117" s="19" t="str">
        <x:v>Isolated debug build, bundle me.cepessa.sessions.liquidqafinal; Swift suite 158 tests, 1 intentional skip, 0 failures</x:v>
      </x:c>
      <x:c r="F117" s="19" t="str">
        <x:v>macOS 26.5.2, arm64, isolated storage root, presentation-only recording state, production PID 53535 unchanged</x:v>
      </x:c>
      <x:c r="G117" s="19" t="str">
        <x:v>The reading window is open.</x:v>
      </x:c>
      <x:c r="H117" s="19" t="str">
        <x:v>Execute the behavior in the isolated dev app when safely reachable; otherwise preserve the explicit blocker. Agent-swift keyboard + preference inspection</x:v>
      </x:c>
      <x:c r="I117" s="19" t="str">
        <x:v>Scale clamps to 0.7 through 2.2 and persists.</x:v>
      </x:c>
      <x:c r="J117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17" s="19" t="str">
        <x:v>Blocked</x:v>
      </x:c>
      <x:c r="L117" s="19" t="str">
        <x:v>/tmp/cepessa-liquidqa-full-final.log</x:v>
      </x:c>
      <x:c r="M117" s="19" t="str">
        <x:v>Codex independent verification</x:v>
      </x:c>
      <x:c r="N117" s="19" t="n">
        <x:v>46230.270833333336</x:v>
      </x:c>
      <x:c r="O117" s="19" t="str">
        <x:v>Incomplete, not failed: no runtime claim is inferred from source or the passing Swift suite.</x:v>
      </x:c>
    </x:row>
    <x:row r="118" ht="72" customHeight="1">
      <x:c r="A118" s="19" t="str">
        <x:v>T-0117</x:v>
      </x:c>
      <x:c r="B118" s="19" t="str">
        <x:v>RUN-20260727-02</x:v>
      </x:c>
      <x:c r="C118" s="19" t="str">
        <x:v>B-0042</x:v>
      </x:c>
      <x:c r="D118" s="19" t="str">
        <x:v>Final regression</x:v>
      </x:c>
      <x:c r="E118" s="19" t="str">
        <x:v>Isolated debug build, bundle me.cepessa.sessions.liquidqafinal; Swift suite 158 tests, 1 intentional skip, 0 failures</x:v>
      </x:c>
      <x:c r="F118" s="19" t="str">
        <x:v>macOS 26.5.2, arm64, isolated storage root, presentation-only recording state, production PID 53535 unchanged</x:v>
      </x:c>
      <x:c r="G118" s="19" t="str">
        <x:v>No stored sessions exist.</x:v>
      </x:c>
      <x:c r="H118" s="19" t="str">
        <x:v>Execute the behavior in the isolated dev app when safely reachable; otherwise preserve the explicit blocker. Seeded empty state + agent-swift</x:v>
      </x:c>
      <x:c r="I118" s="19" t="str">
        <x:v>A disabled No sessions yet row appears.</x:v>
      </x:c>
      <x:c r="J118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18" s="19" t="str">
        <x:v>Blocked</x:v>
      </x:c>
      <x:c r="L118" s="19" t="str">
        <x:v>/tmp/cepessa-liquidqa-full-final.log</x:v>
      </x:c>
      <x:c r="M118" s="19" t="str">
        <x:v>Codex independent verification</x:v>
      </x:c>
      <x:c r="N118" s="19" t="n">
        <x:v>46230.270833333336</x:v>
      </x:c>
      <x:c r="O118" s="19" t="str">
        <x:v>Incomplete, not failed: no runtime claim is inferred from source or the passing Swift suite.</x:v>
      </x:c>
    </x:row>
    <x:row r="119" ht="72" customHeight="1">
      <x:c r="A119" s="19" t="str">
        <x:v>T-0118</x:v>
      </x:c>
      <x:c r="B119" s="19" t="str">
        <x:v>RUN-20260727-02</x:v>
      </x:c>
      <x:c r="C119" s="19" t="str">
        <x:v>B-0043</x:v>
      </x:c>
      <x:c r="D119" s="19" t="str">
        <x:v>Final regression</x:v>
      </x:c>
      <x:c r="E119" s="19" t="str">
        <x:v>Isolated debug build, bundle me.cepessa.sessions.liquidqafinal; Swift suite 158 tests, 1 intentional skip, 0 failures</x:v>
      </x:c>
      <x:c r="F119" s="19" t="str">
        <x:v>macOS 26.5.2, arm64, isolated storage root, presentation-only recording state, production PID 53535 unchanged</x:v>
      </x:c>
      <x:c r="G119" s="19" t="str">
        <x:v>Stored sessions exist.</x:v>
      </x:c>
      <x:c r="H119" s="19" t="str">
        <x:v>Execute the behavior in the isolated dev app when safely reachable; otherwise preserve the explicit blocker. Seeded fixture + agent-swift</x:v>
      </x:c>
      <x:c r="I119" s="19" t="str">
        <x:v>Selection and transcript content switch.</x:v>
      </x:c>
      <x:c r="J119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19" s="19" t="str">
        <x:v>Blocked</x:v>
      </x:c>
      <x:c r="L119" s="19" t="str">
        <x:v>/tmp/cepessa-liquidqa-full-final.log</x:v>
      </x:c>
      <x:c r="M119" s="19" t="str">
        <x:v>Codex independent verification</x:v>
      </x:c>
      <x:c r="N119" s="19" t="n">
        <x:v>46230.270833333336</x:v>
      </x:c>
      <x:c r="O119" s="19" t="str">
        <x:v>Incomplete, not failed: no runtime claim is inferred from source or the passing Swift suite.</x:v>
      </x:c>
    </x:row>
    <x:row r="120" ht="72" customHeight="1">
      <x:c r="A120" s="19" t="str">
        <x:v>T-0119</x:v>
      </x:c>
      <x:c r="B120" s="19" t="str">
        <x:v>RUN-20260727-02</x:v>
      </x:c>
      <x:c r="C120" s="19" t="str">
        <x:v>B-0044</x:v>
      </x:c>
      <x:c r="D120" s="19" t="str">
        <x:v>Final regression</x:v>
      </x:c>
      <x:c r="E120" s="19" t="str">
        <x:v>Isolated debug build, bundle me.cepessa.sessions.liquidqafinal; Swift suite 158 tests, 1 intentional skip, 0 failures</x:v>
      </x:c>
      <x:c r="F120" s="19" t="str">
        <x:v>macOS 26.5.2, arm64, isolated storage root, presentation-only recording state, production PID 53535 unchanged</x:v>
      </x:c>
      <x:c r="G120" s="19" t="str">
        <x:v>The reader toolbar is visible.</x:v>
      </x:c>
      <x:c r="H120" s="19" t="str">
        <x:v>Execute the behavior in the isolated dev app when safely reachable; otherwise preserve the explicit blocker. Source trace + runtime toolbar inspection</x:v>
      </x:c>
      <x:c r="I120" s="19" t="str">
        <x:v>No non-functional document-language selector is presented.</x:v>
      </x:c>
      <x:c r="J120" s="19" t="str">
        <x:v>The misleading language selector was absent; only Sessions, Transcribe, and Export remained.</x:v>
      </x:c>
      <x:c r="K120" s="19" t="str">
        <x:v>Pass</x:v>
      </x:c>
      <x:c r="L120" s="19" t="str">
        <x:v>/tmp/cepessa-liquidqa-sessions2.png; CepessaSessionReadingView.swift</x:v>
      </x:c>
      <x:c r="M120" s="19" t="str">
        <x:v>Codex independent verification</x:v>
      </x:c>
      <x:c r="N120" s="19" t="n">
        <x:v>46230.270833333336</x:v>
      </x:c>
      <x:c r="O120" s="19" t="str"/>
    </x:row>
    <x:row r="121" ht="72" customHeight="1">
      <x:c r="A121" s="19" t="str">
        <x:v>T-0120</x:v>
      </x:c>
      <x:c r="B121" s="19" t="str">
        <x:v>RUN-20260727-02</x:v>
      </x:c>
      <x:c r="C121" s="19" t="str">
        <x:v>B-0045</x:v>
      </x:c>
      <x:c r="D121" s="19" t="str">
        <x:v>Final regression</x:v>
      </x:c>
      <x:c r="E121" s="19" t="str">
        <x:v>Isolated debug build, bundle me.cepessa.sessions.liquidqafinal; Swift suite 158 tests, 1 intentional skip, 0 failures</x:v>
      </x:c>
      <x:c r="F121" s="19" t="str">
        <x:v>macOS 26.5.2, arm64, isolated storage root, presentation-only recording state, production PID 53535 unchanged</x:v>
      </x:c>
      <x:c r="G121" s="19" t="str">
        <x:v>The selected session has retained audio and is idle.</x:v>
      </x:c>
      <x:c r="H121" s="19" t="str">
        <x:v>Execute the behavior in the isolated dev app when safely reachable; otherwise preserve the explicit blocker. Copied fixture + dev app</x:v>
      </x:c>
      <x:c r="I121" s="19" t="str">
        <x:v>A fresh local transcription starts.</x:v>
      </x:c>
      <x:c r="J121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21" s="19" t="str">
        <x:v>Blocked</x:v>
      </x:c>
      <x:c r="L121" s="19" t="str">
        <x:v>/tmp/cepessa-liquidqa-full-final.log</x:v>
      </x:c>
      <x:c r="M121" s="19" t="str">
        <x:v>Codex independent verification</x:v>
      </x:c>
      <x:c r="N121" s="19" t="n">
        <x:v>46230.270833333336</x:v>
      </x:c>
      <x:c r="O121" s="19" t="str">
        <x:v>Incomplete, not failed: no runtime claim is inferred from source or the passing Swift suite.</x:v>
      </x:c>
    </x:row>
    <x:row r="122" ht="72" customHeight="1">
      <x:c r="A122" s="19" t="str">
        <x:v>T-0121</x:v>
      </x:c>
      <x:c r="B122" s="19" t="str">
        <x:v>RUN-20260727-02</x:v>
      </x:c>
      <x:c r="C122" s="19" t="str">
        <x:v>B-0046</x:v>
      </x:c>
      <x:c r="D122" s="19" t="str">
        <x:v>Final regression</x:v>
      </x:c>
      <x:c r="E122" s="19" t="str">
        <x:v>Isolated debug build, bundle me.cepessa.sessions.liquidqafinal; Swift suite 158 tests, 1 intentional skip, 0 failures</x:v>
      </x:c>
      <x:c r="F122" s="19" t="str">
        <x:v>macOS 26.5.2, arm64, isolated storage root, presentation-only recording state, production PID 53535 unchanged</x:v>
      </x:c>
      <x:c r="G122" s="19" t="str">
        <x:v>The selected session lacks audio or is already processing.</x:v>
      </x:c>
      <x:c r="H122" s="19" t="str">
        <x:v>Execute the behavior in the isolated dev app when safely reachable; otherwise preserve the explicit blocker. Seeded fixtures + toolbar inspection</x:v>
      </x:c>
      <x:c r="I122" s="19" t="str">
        <x:v>Transcribe is disabled.</x:v>
      </x:c>
      <x:c r="J122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22" s="19" t="str">
        <x:v>Blocked</x:v>
      </x:c>
      <x:c r="L122" s="19" t="str">
        <x:v>/tmp/cepessa-liquidqa-full-final.log</x:v>
      </x:c>
      <x:c r="M122" s="19" t="str">
        <x:v>Codex independent verification</x:v>
      </x:c>
      <x:c r="N122" s="19" t="n">
        <x:v>46230.270833333336</x:v>
      </x:c>
      <x:c r="O122" s="19" t="str">
        <x:v>Incomplete, not failed: no runtime claim is inferred from source or the passing Swift suite.</x:v>
      </x:c>
    </x:row>
    <x:row r="123" ht="72" customHeight="1">
      <x:c r="A123" s="19" t="str">
        <x:v>T-0122</x:v>
      </x:c>
      <x:c r="B123" s="19" t="str">
        <x:v>RUN-20260727-02</x:v>
      </x:c>
      <x:c r="C123" s="19" t="str">
        <x:v>B-0047</x:v>
      </x:c>
      <x:c r="D123" s="19" t="str">
        <x:v>Final regression</x:v>
      </x:c>
      <x:c r="E123" s="19" t="str">
        <x:v>Isolated debug build, bundle me.cepessa.sessions.liquidqafinal; Swift suite 158 tests, 1 intentional skip, 0 failures</x:v>
      </x:c>
      <x:c r="F123" s="19" t="str">
        <x:v>macOS 26.5.2, arm64, isolated storage root, presentation-only recording state, production PID 53535 unchanged</x:v>
      </x:c>
      <x:c r="G123" s="19" t="str">
        <x:v>The selected session has a non-empty transcript.</x:v>
      </x:c>
      <x:c r="H123" s="19" t="str">
        <x:v>Execute the behavior in the isolated dev app when safely reachable; otherwise preserve the explicit blocker. Dev app + temporary destination</x:v>
      </x:c>
      <x:c r="I123" s="19" t="str">
        <x:v>A Markdown transcript is written.</x:v>
      </x:c>
      <x:c r="J123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23" s="19" t="str">
        <x:v>Blocked</x:v>
      </x:c>
      <x:c r="L123" s="19" t="str">
        <x:v>/tmp/cepessa-liquidqa-full-final.log</x:v>
      </x:c>
      <x:c r="M123" s="19" t="str">
        <x:v>Codex independent verification</x:v>
      </x:c>
      <x:c r="N123" s="19" t="n">
        <x:v>46230.270833333336</x:v>
      </x:c>
      <x:c r="O123" s="19" t="str">
        <x:v>Incomplete, not failed: no runtime claim is inferred from source or the passing Swift suite.</x:v>
      </x:c>
    </x:row>
    <x:row r="124" ht="72" customHeight="1">
      <x:c r="A124" s="19" t="str">
        <x:v>T-0123</x:v>
      </x:c>
      <x:c r="B124" s="19" t="str">
        <x:v>RUN-20260727-02</x:v>
      </x:c>
      <x:c r="C124" s="19" t="str">
        <x:v>B-0048</x:v>
      </x:c>
      <x:c r="D124" s="19" t="str">
        <x:v>Final regression</x:v>
      </x:c>
      <x:c r="E124" s="19" t="str">
        <x:v>Isolated debug build, bundle me.cepessa.sessions.liquidqafinal; Swift suite 158 tests, 1 intentional skip, 0 failures</x:v>
      </x:c>
      <x:c r="F124" s="19" t="str">
        <x:v>macOS 26.5.2, arm64, isolated storage root, presentation-only recording state, production PID 53535 unchanged</x:v>
      </x:c>
      <x:c r="G124" s="19" t="str">
        <x:v>The export destination cannot be written.</x:v>
      </x:c>
      <x:c r="H124" s="19" t="str">
        <x:v>Execute the behavior in the isolated dev app when safely reachable; otherwise preserve the explicit blocker. Controlled unwritable destination</x:v>
      </x:c>
      <x:c r="I124" s="19" t="str">
        <x:v>Only a system beep reports failure.</x:v>
      </x:c>
      <x:c r="J124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24" s="19" t="str">
        <x:v>Blocked</x:v>
      </x:c>
      <x:c r="L124" s="19" t="str">
        <x:v>/tmp/cepessa-liquidqa-full-final.log</x:v>
      </x:c>
      <x:c r="M124" s="19" t="str">
        <x:v>Codex independent verification</x:v>
      </x:c>
      <x:c r="N124" s="19" t="n">
        <x:v>46230.270833333336</x:v>
      </x:c>
      <x:c r="O124" s="19" t="str">
        <x:v>Incomplete, not failed: no runtime claim is inferred from source or the passing Swift suite.</x:v>
      </x:c>
    </x:row>
    <x:row r="125" ht="72" customHeight="1">
      <x:c r="A125" s="19" t="str">
        <x:v>T-0124</x:v>
      </x:c>
      <x:c r="B125" s="19" t="str">
        <x:v>RUN-20260727-02</x:v>
      </x:c>
      <x:c r="C125" s="19" t="str">
        <x:v>B-0049</x:v>
      </x:c>
      <x:c r="D125" s="19" t="str">
        <x:v>Final regression</x:v>
      </x:c>
      <x:c r="E125" s="19" t="str">
        <x:v>Isolated debug build, bundle me.cepessa.sessions.liquidqafinal; Swift suite 158 tests, 1 intentional skip, 0 failures</x:v>
      </x:c>
      <x:c r="F125" s="19" t="str">
        <x:v>macOS 26.5.2, arm64, isolated storage root, presentation-only recording state, production PID 53535 unchanged</x:v>
      </x:c>
      <x:c r="G125" s="19" t="str">
        <x:v>No Clips exist in isolated storage.</x:v>
      </x:c>
      <x:c r="H125" s="19" t="str">
        <x:v>Execute the behavior in the isolated dev app when safely reachable; otherwise preserve the explicit blocker. Isolated dev storage + agent-swift</x:v>
      </x:c>
      <x:c r="I125" s="19" t="str">
        <x:v>Empty-list and empty-inspector states appear.</x:v>
      </x:c>
      <x:c r="J125" s="19" t="str">
        <x:v>The isolated Clips route rendered truthful No Clips and No Clip Selected states.</x:v>
      </x:c>
      <x:c r="K125" s="19" t="str">
        <x:v>Pass</x:v>
      </x:c>
      <x:c r="L125" s="19" t="str">
        <x:v>/tmp/cepessa-liquidqa-clips.png</x:v>
      </x:c>
      <x:c r="M125" s="19" t="str">
        <x:v>Codex independent verification</x:v>
      </x:c>
      <x:c r="N125" s="19" t="n">
        <x:v>46230.270833333336</x:v>
      </x:c>
      <x:c r="O125" s="19" t="str"/>
    </x:row>
    <x:row r="126" ht="72" customHeight="1">
      <x:c r="A126" s="19" t="str">
        <x:v>T-0125</x:v>
      </x:c>
      <x:c r="B126" s="19" t="str">
        <x:v>RUN-20260727-02</x:v>
      </x:c>
      <x:c r="C126" s="19" t="str">
        <x:v>B-0050</x:v>
      </x:c>
      <x:c r="D126" s="19" t="str">
        <x:v>Final regression</x:v>
      </x:c>
      <x:c r="E126" s="19" t="str">
        <x:v>Isolated debug build, bundle me.cepessa.sessions.liquidqafinal; Swift suite 158 tests, 1 intentional skip, 0 failures</x:v>
      </x:c>
      <x:c r="F126" s="19" t="str">
        <x:v>macOS 26.5.2, arm64, isolated storage root, presentation-only recording state, production PID 53535 unchanged</x:v>
      </x:c>
      <x:c r="G126" s="19" t="str">
        <x:v>Stored Clips exist.</x:v>
      </x:c>
      <x:c r="H126" s="19" t="str">
        <x:v>Execute the behavior in the isolated dev app when safely reachable; otherwise preserve the explicit blocker. Seeded Clip fixture + agent-swift</x:v>
      </x:c>
      <x:c r="I126" s="19" t="str">
        <x:v>The inspector and editable drafts switch to that Clip.</x:v>
      </x:c>
      <x:c r="J126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26" s="19" t="str">
        <x:v>Blocked</x:v>
      </x:c>
      <x:c r="L126" s="19" t="str">
        <x:v>/tmp/cepessa-liquidqa-full-final.log</x:v>
      </x:c>
      <x:c r="M126" s="19" t="str">
        <x:v>Codex independent verification</x:v>
      </x:c>
      <x:c r="N126" s="19" t="n">
        <x:v>46230.270833333336</x:v>
      </x:c>
      <x:c r="O126" s="19" t="str">
        <x:v>Incomplete, not failed: no runtime claim is inferred from source or the passing Swift suite.</x:v>
      </x:c>
    </x:row>
    <x:row r="127" ht="72" customHeight="1">
      <x:c r="A127" s="19" t="str">
        <x:v>T-0126</x:v>
      </x:c>
      <x:c r="B127" s="19" t="str">
        <x:v>RUN-20260727-02</x:v>
      </x:c>
      <x:c r="C127" s="19" t="str">
        <x:v>B-0051</x:v>
      </x:c>
      <x:c r="D127" s="19" t="str">
        <x:v>Final regression</x:v>
      </x:c>
      <x:c r="E127" s="19" t="str">
        <x:v>Isolated debug build, bundle me.cepessa.sessions.liquidqafinal; Swift suite 158 tests, 1 intentional skip, 0 failures</x:v>
      </x:c>
      <x:c r="F127" s="19" t="str">
        <x:v>macOS 26.5.2, arm64, isolated storage root, presentation-only recording state, production PID 53535 unchanged</x:v>
      </x:c>
      <x:c r="G127" s="19" t="str">
        <x:v>Draft title and intent contain text.</x:v>
      </x:c>
      <x:c r="H127" s="19" t="str">
        <x:v>Execute the behavior in the isolated dev app when safely reachable; otherwise preserve the explicit blocker. View-model test + isolated fixture</x:v>
      </x:c>
      <x:c r="I127" s="19" t="str">
        <x:v>The normalized title and optional intent enter the manifest.</x:v>
      </x:c>
      <x:c r="J127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27" s="19" t="str">
        <x:v>Blocked</x:v>
      </x:c>
      <x:c r="L127" s="19" t="str">
        <x:v>/tmp/cepessa-liquidqa-full-final.log</x:v>
      </x:c>
      <x:c r="M127" s="19" t="str">
        <x:v>Codex independent verification</x:v>
      </x:c>
      <x:c r="N127" s="19" t="n">
        <x:v>46230.270833333336</x:v>
      </x:c>
      <x:c r="O127" s="19" t="str">
        <x:v>Incomplete, not failed: no runtime claim is inferred from source or the passing Swift suite.</x:v>
      </x:c>
    </x:row>
    <x:row r="128" ht="72" customHeight="1">
      <x:c r="A128" s="19" t="str">
        <x:v>T-0127</x:v>
      </x:c>
      <x:c r="B128" s="19" t="str">
        <x:v>RUN-20260727-02</x:v>
      </x:c>
      <x:c r="C128" s="19" t="str">
        <x:v>B-0052</x:v>
      </x:c>
      <x:c r="D128" s="19" t="str">
        <x:v>Final regression</x:v>
      </x:c>
      <x:c r="E128" s="19" t="str">
        <x:v>Isolated debug build, bundle me.cepessa.sessions.liquidqafinal; Swift suite 158 tests, 1 intentional skip, 0 failures</x:v>
      </x:c>
      <x:c r="F128" s="19" t="str">
        <x:v>macOS 26.5.2, arm64, isolated storage root, presentation-only recording state, production PID 53535 unchanged</x:v>
      </x:c>
      <x:c r="G128" s="19" t="str">
        <x:v>No Clip recording is active.</x:v>
      </x:c>
      <x:c r="H128" s="19" t="str">
        <x:v>Execute the behavior in the isolated dev app when safely reachable; otherwise preserve the explicit blocker. Dev-only recording flow</x:v>
      </x:c>
      <x:c r="I128" s="19" t="str">
        <x:v>Screen and audio capture start, the timer runs, and the new Clip is selected.</x:v>
      </x:c>
      <x:c r="J128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28" s="19" t="str">
        <x:v>Blocked</x:v>
      </x:c>
      <x:c r="L128" s="19" t="str">
        <x:v>/tmp/cepessa-liquidqa-full-final.log</x:v>
      </x:c>
      <x:c r="M128" s="19" t="str">
        <x:v>Codex independent verification</x:v>
      </x:c>
      <x:c r="N128" s="19" t="n">
        <x:v>46230.270833333336</x:v>
      </x:c>
      <x:c r="O128" s="19" t="str">
        <x:v>Incomplete, not failed: no runtime claim is inferred from source or the passing Swift suite.</x:v>
      </x:c>
    </x:row>
    <x:row r="129" ht="72" customHeight="1">
      <x:c r="A129" s="19" t="str">
        <x:v>T-0128</x:v>
      </x:c>
      <x:c r="B129" s="19" t="str">
        <x:v>RUN-20260727-02</x:v>
      </x:c>
      <x:c r="C129" s="19" t="str">
        <x:v>B-0053</x:v>
      </x:c>
      <x:c r="D129" s="19" t="str">
        <x:v>Final regression</x:v>
      </x:c>
      <x:c r="E129" s="19" t="str">
        <x:v>Isolated debug build, bundle me.cepessa.sessions.liquidqafinal; Swift suite 158 tests, 1 intentional skip, 0 failures</x:v>
      </x:c>
      <x:c r="F129" s="19" t="str">
        <x:v>macOS 26.5.2, arm64, isolated storage root, presentation-only recording state, production PID 53535 unchanged</x:v>
      </x:c>
      <x:c r="G129" s="19" t="str">
        <x:v>Clip capture startup will fail.</x:v>
      </x:c>
      <x:c r="H129" s="19" t="str">
        <x:v>Execute the behavior in the isolated dev app when safely reachable; otherwise preserve the explicit blocker. Injected recorder/process failure</x:v>
      </x:c>
      <x:c r="I129" s="19" t="str">
        <x:v>The Clip is saved as failed and error text is shown.</x:v>
      </x:c>
      <x:c r="J129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29" s="19" t="str">
        <x:v>Blocked</x:v>
      </x:c>
      <x:c r="L129" s="19" t="str">
        <x:v>/tmp/cepessa-liquidqa-full-final.log</x:v>
      </x:c>
      <x:c r="M129" s="19" t="str">
        <x:v>Codex independent verification</x:v>
      </x:c>
      <x:c r="N129" s="19" t="n">
        <x:v>46230.270833333336</x:v>
      </x:c>
      <x:c r="O129" s="19" t="str">
        <x:v>Incomplete, not failed: no runtime claim is inferred from source or the passing Swift suite.</x:v>
      </x:c>
    </x:row>
    <x:row r="130" ht="72" customHeight="1">
      <x:c r="A130" s="19" t="str">
        <x:v>T-0129</x:v>
      </x:c>
      <x:c r="B130" s="19" t="str">
        <x:v>RUN-20260727-02</x:v>
      </x:c>
      <x:c r="C130" s="19" t="str">
        <x:v>B-0054</x:v>
      </x:c>
      <x:c r="D130" s="19" t="str">
        <x:v>Final regression</x:v>
      </x:c>
      <x:c r="E130" s="19" t="str">
        <x:v>Isolated debug build, bundle me.cepessa.sessions.liquidqafinal; Swift suite 158 tests, 1 intentional skip, 0 failures</x:v>
      </x:c>
      <x:c r="F130" s="19" t="str">
        <x:v>macOS 26.5.2, arm64, isolated storage root, presentation-only recording state, production PID 53535 unchanged</x:v>
      </x:c>
      <x:c r="G130" s="19" t="str">
        <x:v>Clip recording is active.</x:v>
      </x:c>
      <x:c r="H130" s="19" t="str">
        <x:v>Execute the behavior in the isolated dev app when safely reachable; otherwise preserve the explicit blocker. Dev-only recording flow</x:v>
      </x:c>
      <x:c r="I130" s="19" t="str">
        <x:v>Capture stops and transcript processing starts.</x:v>
      </x:c>
      <x:c r="J130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30" s="19" t="str">
        <x:v>Blocked</x:v>
      </x:c>
      <x:c r="L130" s="19" t="str">
        <x:v>/tmp/cepessa-liquidqa-full-final.log</x:v>
      </x:c>
      <x:c r="M130" s="19" t="str">
        <x:v>Codex independent verification</x:v>
      </x:c>
      <x:c r="N130" s="19" t="n">
        <x:v>46230.270833333336</x:v>
      </x:c>
      <x:c r="O130" s="19" t="str">
        <x:v>Incomplete, not failed: no runtime claim is inferred from source or the passing Swift suite.</x:v>
      </x:c>
    </x:row>
    <x:row r="131" ht="72" customHeight="1">
      <x:c r="A131" s="19" t="str">
        <x:v>T-0130</x:v>
      </x:c>
      <x:c r="B131" s="19" t="str">
        <x:v>RUN-20260727-02</x:v>
      </x:c>
      <x:c r="C131" s="19" t="str">
        <x:v>B-0055</x:v>
      </x:c>
      <x:c r="D131" s="19" t="str">
        <x:v>Final regression</x:v>
      </x:c>
      <x:c r="E131" s="19" t="str">
        <x:v>Isolated debug build, bundle me.cepessa.sessions.liquidqafinal; Swift suite 158 tests, 1 intentional skip, 0 failures</x:v>
      </x:c>
      <x:c r="F131" s="19" t="str">
        <x:v>macOS 26.5.2, arm64, isolated storage root, presentation-only recording state, production PID 53535 unchanged</x:v>
      </x:c>
      <x:c r="G131" s="19" t="str">
        <x:v>Clip audio exists and transcription succeeds.</x:v>
      </x:c>
      <x:c r="H131" s="19" t="str">
        <x:v>Execute the behavior in the isolated dev app when safely reachable; otherwise preserve the explicit blocker. View-model test + audio fixture</x:v>
      </x:c>
      <x:c r="I131" s="19" t="str">
        <x:v>The Clip becomes ready with transcript segments and an inferred title.</x:v>
      </x:c>
      <x:c r="J131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31" s="19" t="str">
        <x:v>Blocked</x:v>
      </x:c>
      <x:c r="L131" s="19" t="str">
        <x:v>/tmp/cepessa-liquidqa-full-final.log</x:v>
      </x:c>
      <x:c r="M131" s="19" t="str">
        <x:v>Codex independent verification</x:v>
      </x:c>
      <x:c r="N131" s="19" t="n">
        <x:v>46230.270833333336</x:v>
      </x:c>
      <x:c r="O131" s="19" t="str">
        <x:v>Incomplete, not failed: no runtime claim is inferred from source or the passing Swift suite.</x:v>
      </x:c>
    </x:row>
    <x:row r="132" ht="72" customHeight="1">
      <x:c r="A132" s="19" t="str">
        <x:v>T-0131</x:v>
      </x:c>
      <x:c r="B132" s="19" t="str">
        <x:v>RUN-20260727-02</x:v>
      </x:c>
      <x:c r="C132" s="19" t="str">
        <x:v>B-0056</x:v>
      </x:c>
      <x:c r="D132" s="19" t="str">
        <x:v>Final regression</x:v>
      </x:c>
      <x:c r="E132" s="19" t="str">
        <x:v>Isolated debug build, bundle me.cepessa.sessions.liquidqafinal; Swift suite 158 tests, 1 intentional skip, 0 failures</x:v>
      </x:c>
      <x:c r="F132" s="19" t="str">
        <x:v>macOS 26.5.2, arm64, isolated storage root, presentation-only recording state, production PID 53535 unchanged</x:v>
      </x:c>
      <x:c r="G132" s="19" t="str">
        <x:v>No Clip audio is available.</x:v>
      </x:c>
      <x:c r="H132" s="19" t="str">
        <x:v>Execute the behavior in the isolated dev app when safely reachable; otherwise preserve the explicit blocker. View-model test</x:v>
      </x:c>
      <x:c r="I132" s="19" t="str">
        <x:v>The Clip becomes ready with an explicit no-transcript error.</x:v>
      </x:c>
      <x:c r="J132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32" s="19" t="str">
        <x:v>Blocked</x:v>
      </x:c>
      <x:c r="L132" s="19" t="str">
        <x:v>/tmp/cepessa-liquidqa-full-final.log</x:v>
      </x:c>
      <x:c r="M132" s="19" t="str">
        <x:v>Codex independent verification</x:v>
      </x:c>
      <x:c r="N132" s="19" t="n">
        <x:v>46230.270833333336</x:v>
      </x:c>
      <x:c r="O132" s="19" t="str">
        <x:v>Incomplete, not failed: no runtime claim is inferred from source or the passing Swift suite.</x:v>
      </x:c>
    </x:row>
    <x:row r="133" ht="72" customHeight="1">
      <x:c r="A133" s="19" t="str">
        <x:v>T-0132</x:v>
      </x:c>
      <x:c r="B133" s="19" t="str">
        <x:v>RUN-20260727-02</x:v>
      </x:c>
      <x:c r="C133" s="19" t="str">
        <x:v>B-0057</x:v>
      </x:c>
      <x:c r="D133" s="19" t="str">
        <x:v>Final regression</x:v>
      </x:c>
      <x:c r="E133" s="19" t="str">
        <x:v>Isolated debug build, bundle me.cepessa.sessions.liquidqafinal; Swift suite 158 tests, 1 intentional skip, 0 failures</x:v>
      </x:c>
      <x:c r="F133" s="19" t="str">
        <x:v>macOS 26.5.2, arm64, isolated storage root, presentation-only recording state, production PID 53535 unchanged</x:v>
      </x:c>
      <x:c r="G133" s="19" t="str">
        <x:v>Clip transcription will fail.</x:v>
      </x:c>
      <x:c r="H133" s="19" t="str">
        <x:v>Execute the behavior in the isolated dev app when safely reachable; otherwise preserve the explicit blocker. Injected transcription failure</x:v>
      </x:c>
      <x:c r="I133" s="19" t="str">
        <x:v>The Clip becomes ready with a transcription-failed error.</x:v>
      </x:c>
      <x:c r="J133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33" s="19" t="str">
        <x:v>Blocked</x:v>
      </x:c>
      <x:c r="L133" s="19" t="str">
        <x:v>/tmp/cepessa-liquidqa-full-final.log</x:v>
      </x:c>
      <x:c r="M133" s="19" t="str">
        <x:v>Codex independent verification</x:v>
      </x:c>
      <x:c r="N133" s="19" t="n">
        <x:v>46230.270833333336</x:v>
      </x:c>
      <x:c r="O133" s="19" t="str">
        <x:v>Incomplete, not failed: no runtime claim is inferred from source or the passing Swift suite.</x:v>
      </x:c>
    </x:row>
    <x:row r="134" ht="72" customHeight="1">
      <x:c r="A134" s="19" t="str">
        <x:v>T-0133</x:v>
      </x:c>
      <x:c r="B134" s="19" t="str">
        <x:v>RUN-20260727-02</x:v>
      </x:c>
      <x:c r="C134" s="19" t="str">
        <x:v>B-0058</x:v>
      </x:c>
      <x:c r="D134" s="19" t="str">
        <x:v>Final regression</x:v>
      </x:c>
      <x:c r="E134" s="19" t="str">
        <x:v>Isolated debug build, bundle me.cepessa.sessions.liquidqafinal; Swift suite 158 tests, 1 intentional skip, 0 failures</x:v>
      </x:c>
      <x:c r="F134" s="19" t="str">
        <x:v>macOS 26.5.2, arm64, isolated storage root, presentation-only recording state, production PID 53535 unchanged</x:v>
      </x:c>
      <x:c r="G134" s="19" t="str">
        <x:v>A Clip is selected.</x:v>
      </x:c>
      <x:c r="H134" s="19" t="str">
        <x:v>Execute the behavior in the isolated dev app when safely reachable; otherwise preserve the explicit blocker. Seeded Clip + pasteboard assertion</x:v>
      </x:c>
      <x:c r="I134" s="19" t="str">
        <x:v>The clipboard receives the MCP instruction and local artifact paths.</x:v>
      </x:c>
      <x:c r="J134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34" s="19" t="str">
        <x:v>Blocked</x:v>
      </x:c>
      <x:c r="L134" s="19" t="str">
        <x:v>/tmp/cepessa-liquidqa-full-final.log</x:v>
      </x:c>
      <x:c r="M134" s="19" t="str">
        <x:v>Codex independent verification</x:v>
      </x:c>
      <x:c r="N134" s="19" t="n">
        <x:v>46230.270833333336</x:v>
      </x:c>
      <x:c r="O134" s="19" t="str">
        <x:v>Incomplete, not failed: no runtime claim is inferred from source or the passing Swift suite.</x:v>
      </x:c>
    </x:row>
    <x:row r="135" ht="72" customHeight="1">
      <x:c r="A135" s="19" t="str">
        <x:v>T-0134</x:v>
      </x:c>
      <x:c r="B135" s="19" t="str">
        <x:v>RUN-20260727-02</x:v>
      </x:c>
      <x:c r="C135" s="19" t="str">
        <x:v>B-0059</x:v>
      </x:c>
      <x:c r="D135" s="19" t="str">
        <x:v>Final regression</x:v>
      </x:c>
      <x:c r="E135" s="19" t="str">
        <x:v>Isolated debug build, bundle me.cepessa.sessions.liquidqafinal; Swift suite 158 tests, 1 intentional skip, 0 failures</x:v>
      </x:c>
      <x:c r="F135" s="19" t="str">
        <x:v>macOS 26.5.2, arm64, isolated storage root, presentation-only recording state, production PID 53535 unchanged</x:v>
      </x:c>
      <x:c r="G135" s="19" t="str">
        <x:v>A Clip is selected and its fields are edited.</x:v>
      </x:c>
      <x:c r="H135" s="19" t="str">
        <x:v>Execute the behavior in the isolated dev app when safely reachable; otherwise preserve the explicit blocker. View-model test + isolated storage</x:v>
      </x:c>
      <x:c r="I135" s="19" t="str">
        <x:v>Post notes, title, and intent are persisted.</x:v>
      </x:c>
      <x:c r="J135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35" s="19" t="str">
        <x:v>Blocked</x:v>
      </x:c>
      <x:c r="L135" s="19" t="str">
        <x:v>/tmp/cepessa-liquidqa-full-final.log</x:v>
      </x:c>
      <x:c r="M135" s="19" t="str">
        <x:v>Codex independent verification</x:v>
      </x:c>
      <x:c r="N135" s="19" t="n">
        <x:v>46230.270833333336</x:v>
      </x:c>
      <x:c r="O135" s="19" t="str">
        <x:v>Incomplete, not failed: no runtime claim is inferred from source or the passing Swift suite.</x:v>
      </x:c>
    </x:row>
    <x:row r="136" ht="72" customHeight="1">
      <x:c r="A136" s="19" t="str">
        <x:v>T-0135</x:v>
      </x:c>
      <x:c r="B136" s="19" t="str">
        <x:v>RUN-20260727-02</x:v>
      </x:c>
      <x:c r="C136" s="19" t="str">
        <x:v>B-0060</x:v>
      </x:c>
      <x:c r="D136" s="19" t="str">
        <x:v>Final regression</x:v>
      </x:c>
      <x:c r="E136" s="19" t="str">
        <x:v>Isolated debug build, bundle me.cepessa.sessions.liquidqafinal; Swift suite 158 tests, 1 intentional skip, 0 failures</x:v>
      </x:c>
      <x:c r="F136" s="19" t="str">
        <x:v>macOS 26.5.2, arm64, isolated storage root, presentation-only recording state, production PID 53535 unchanged</x:v>
      </x:c>
      <x:c r="G136" s="19" t="str">
        <x:v>A Clip is selected.</x:v>
      </x:c>
      <x:c r="H136" s="19" t="str">
        <x:v>Execute the behavior in the isolated dev app when safely reachable; otherwise preserve the explicit blocker. Manual Finder observation</x:v>
      </x:c>
      <x:c r="I136" s="19" t="str">
        <x:v>Finder opens the Clip directory.</x:v>
      </x:c>
      <x:c r="J136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36" s="19" t="str">
        <x:v>Blocked</x:v>
      </x:c>
      <x:c r="L136" s="19" t="str">
        <x:v>/tmp/cepessa-liquidqa-full-final.log</x:v>
      </x:c>
      <x:c r="M136" s="19" t="str">
        <x:v>Codex independent verification</x:v>
      </x:c>
      <x:c r="N136" s="19" t="n">
        <x:v>46230.270833333336</x:v>
      </x:c>
      <x:c r="O136" s="19" t="str">
        <x:v>Incomplete, not failed: no runtime claim is inferred from source or the passing Swift suite.</x:v>
      </x:c>
    </x:row>
    <x:row r="137" ht="72" customHeight="1">
      <x:c r="A137" s="19" t="str">
        <x:v>T-0136</x:v>
      </x:c>
      <x:c r="B137" s="19" t="str">
        <x:v>RUN-20260727-02</x:v>
      </x:c>
      <x:c r="C137" s="19" t="str">
        <x:v>B-0061</x:v>
      </x:c>
      <x:c r="D137" s="19" t="str">
        <x:v>Final regression</x:v>
      </x:c>
      <x:c r="E137" s="19" t="str">
        <x:v>Isolated debug build, bundle me.cepessa.sessions.liquidqafinal; Swift suite 158 tests, 1 intentional skip, 0 failures</x:v>
      </x:c>
      <x:c r="F137" s="19" t="str">
        <x:v>macOS 26.5.2, arm64, isolated storage root, presentation-only recording state, production PID 53535 unchanged</x:v>
      </x:c>
      <x:c r="G137" s="19" t="str">
        <x:v>The user changes a transcription preference.</x:v>
      </x:c>
      <x:c r="H137" s="19" t="str">
        <x:v>Execute the behavior in the isolated dev app when safely reachable; otherwise preserve the explicit blocker. Unit tests for plan resolution</x:v>
      </x:c>
      <x:c r="I137" s="19" t="str">
        <x:v>The selected model order, speed, and language prompt are applied.</x:v>
      </x:c>
      <x:c r="J137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37" s="19" t="str">
        <x:v>Blocked</x:v>
      </x:c>
      <x:c r="L137" s="19" t="str">
        <x:v>/tmp/cepessa-liquidqa-full-final.log</x:v>
      </x:c>
      <x:c r="M137" s="19" t="str">
        <x:v>Codex independent verification</x:v>
      </x:c>
      <x:c r="N137" s="19" t="n">
        <x:v>46230.270833333336</x:v>
      </x:c>
      <x:c r="O137" s="19" t="str">
        <x:v>Incomplete, not failed: no runtime claim is inferred from source or the passing Swift suite.</x:v>
      </x:c>
    </x:row>
    <x:row r="138" ht="72" customHeight="1">
      <x:c r="A138" s="19" t="str">
        <x:v>T-0137</x:v>
      </x:c>
      <x:c r="B138" s="19" t="str">
        <x:v>RUN-20260727-02</x:v>
      </x:c>
      <x:c r="C138" s="19" t="str">
        <x:v>B-0062</x:v>
      </x:c>
      <x:c r="D138" s="19" t="str">
        <x:v>Final regression</x:v>
      </x:c>
      <x:c r="E138" s="19" t="str">
        <x:v>Isolated debug build, bundle me.cepessa.sessions.liquidqafinal; Swift suite 158 tests, 1 intentional skip, 0 failures</x:v>
      </x:c>
      <x:c r="F138" s="19" t="str">
        <x:v>macOS 26.5.2, arm64, isolated storage root, presentation-only recording state, production PID 53535 unchanged</x:v>
      </x:c>
      <x:c r="G138" s="19" t="str">
        <x:v>Settings is visible.</x:v>
      </x:c>
      <x:c r="H138" s="19" t="str">
        <x:v>Execute the behavior in the isolated dev app when safely reachable; otherwise preserve the explicit blocker. Source trace + runtime Settings inspection</x:v>
      </x:c>
      <x:c r="I138" s="19" t="str">
        <x:v>No non-functional raw-audio retention toggle is presented.</x:v>
      </x:c>
      <x:c r="J138" s="19" t="str">
        <x:v>Settings no longer presented a non-functional raw-audio retention toggle.</x:v>
      </x:c>
      <x:c r="K138" s="19" t="str">
        <x:v>Pass</x:v>
      </x:c>
      <x:c r="L138" s="19" t="str">
        <x:v>/tmp/cepessa-liquidqa-settings3.png; CepessaSessionsShellPages.swift</x:v>
      </x:c>
      <x:c r="M138" s="19" t="str">
        <x:v>Codex independent verification</x:v>
      </x:c>
      <x:c r="N138" s="19" t="n">
        <x:v>46230.270833333336</x:v>
      </x:c>
      <x:c r="O138" s="19" t="str"/>
    </x:row>
    <x:row r="139" ht="72" customHeight="1">
      <x:c r="A139" s="19" t="str">
        <x:v>T-0138</x:v>
      </x:c>
      <x:c r="B139" s="19" t="str">
        <x:v>RUN-20260727-02</x:v>
      </x:c>
      <x:c r="C139" s="19" t="str">
        <x:v>B-0063</x:v>
      </x:c>
      <x:c r="D139" s="19" t="str">
        <x:v>Final regression</x:v>
      </x:c>
      <x:c r="E139" s="19" t="str">
        <x:v>Isolated debug build, bundle me.cepessa.sessions.liquidqafinal; Swift suite 158 tests, 1 intentional skip, 0 failures</x:v>
      </x:c>
      <x:c r="F139" s="19" t="str">
        <x:v>macOS 26.5.2, arm64, isolated storage root, presentation-only recording state, production PID 53535 unchanged</x:v>
      </x:c>
      <x:c r="G139" s="19" t="str">
        <x:v>Microphone or screen permission is granted or denied.</x:v>
      </x:c>
      <x:c r="H139" s="19" t="str">
        <x:v>Execute the behavior in the isolated dev app when safely reachable; otherwise preserve the explicit blocker. Agent-swift + OS permission observation</x:v>
      </x:c>
      <x:c r="I139" s="19" t="str">
        <x:v>Each row shows Ready or Needs access.</x:v>
      </x:c>
      <x:c r="J139" s="19" t="str">
        <x:v>The Settings window presented language, speed, and floating-indicator controls in a grouped native Form.</x:v>
      </x:c>
      <x:c r="K139" s="19" t="str">
        <x:v>Pass</x:v>
      </x:c>
      <x:c r="L139" s="19" t="str">
        <x:v>/tmp/cepessa-liquidqa-settings3.png; /tmp/cepessa-liquidqa-settings3-snapshot.json</x:v>
      </x:c>
      <x:c r="M139" s="19" t="str">
        <x:v>Codex independent verification</x:v>
      </x:c>
      <x:c r="N139" s="19" t="n">
        <x:v>46230.270833333336</x:v>
      </x:c>
      <x:c r="O139" s="19" t="str"/>
    </x:row>
    <x:row r="140" ht="72" customHeight="1">
      <x:c r="A140" s="19" t="str">
        <x:v>T-0139</x:v>
      </x:c>
      <x:c r="B140" s="19" t="str">
        <x:v>RUN-20260727-02</x:v>
      </x:c>
      <x:c r="C140" s="19" t="str">
        <x:v>B-0064</x:v>
      </x:c>
      <x:c r="D140" s="19" t="str">
        <x:v>Final regression</x:v>
      </x:c>
      <x:c r="E140" s="19" t="str">
        <x:v>Isolated debug build, bundle me.cepessa.sessions.liquidqafinal; Swift suite 158 tests, 1 intentional skip, 0 failures</x:v>
      </x:c>
      <x:c r="F140" s="19" t="str">
        <x:v>macOS 26.5.2, arm64, isolated storage root, presentation-only recording state, production PID 53535 unchanged</x:v>
      </x:c>
      <x:c r="G140" s="19" t="str">
        <x:v>A privacy action is visible.</x:v>
      </x:c>
      <x:c r="H140" s="19" t="str">
        <x:v>Execute the behavior in the isolated dev app when safely reachable; otherwise preserve the explicit blocker. Manual System Settings observation</x:v>
      </x:c>
      <x:c r="I140" s="19" t="str">
        <x:v>macOS opens the corresponding Privacy pane.</x:v>
      </x:c>
      <x:c r="J140" s="19" t="str">
        <x:v>Microphone and Screen Recording permission rows showed explicit Not granted state and Open actions.</x:v>
      </x:c>
      <x:c r="K140" s="19" t="str">
        <x:v>Pass</x:v>
      </x:c>
      <x:c r="L140" s="19" t="str">
        <x:v>/tmp/cepessa-liquidqa-settings3.png; /tmp/cepessa-liquidqa-settings3-snapshot.json</x:v>
      </x:c>
      <x:c r="M140" s="19" t="str">
        <x:v>Codex independent verification</x:v>
      </x:c>
      <x:c r="N140" s="19" t="n">
        <x:v>46230.270833333336</x:v>
      </x:c>
      <x:c r="O140" s="19" t="str"/>
    </x:row>
    <x:row r="141" ht="72" customHeight="1">
      <x:c r="A141" s="19" t="str">
        <x:v>T-0140</x:v>
      </x:c>
      <x:c r="B141" s="19" t="str">
        <x:v>RUN-20260727-02</x:v>
      </x:c>
      <x:c r="C141" s="19" t="str">
        <x:v>B-0065</x:v>
      </x:c>
      <x:c r="D141" s="19" t="str">
        <x:v>Final regression</x:v>
      </x:c>
      <x:c r="E141" s="19" t="str">
        <x:v>Isolated debug build, bundle me.cepessa.sessions.liquidqafinal; Swift suite 158 tests, 1 intentional skip, 0 failures</x:v>
      </x:c>
      <x:c r="F141" s="19" t="str">
        <x:v>macOS 26.5.2, arm64, isolated storage root, presentation-only recording state, production PID 53535 unchanged</x:v>
      </x:c>
      <x:c r="G141" s="19" t="str">
        <x:v>Isolated Sessions or Clips storage has known contents.</x:v>
      </x:c>
      <x:c r="H141" s="19" t="str">
        <x:v>Execute the behavior in the isolated dev app when safely reachable; otherwise preserve the explicit blocker. Isolated fixture + agent-swift</x:v>
      </x:c>
      <x:c r="I141" s="19" t="str">
        <x:v>Sessions, Clips, and total sizes update.</x:v>
      </x:c>
      <x:c r="J141" s="19" t="str">
        <x:v>Settings resolved Sessions and Clips under the isolated test root and reported zero KB.</x:v>
      </x:c>
      <x:c r="K141" s="19" t="str">
        <x:v>Pass</x:v>
      </x:c>
      <x:c r="L141" s="19" t="str">
        <x:v>/tmp/cepessa-liquidqa-settings3.png; /tmp/cepessa-liquidqa-final.uahIic/data</x:v>
      </x:c>
      <x:c r="M141" s="19" t="str">
        <x:v>Codex independent verification</x:v>
      </x:c>
      <x:c r="N141" s="19" t="n">
        <x:v>46230.270833333336</x:v>
      </x:c>
      <x:c r="O141" s="19" t="str"/>
    </x:row>
    <x:row r="142" ht="72" customHeight="1">
      <x:c r="A142" s="19" t="str">
        <x:v>T-0141</x:v>
      </x:c>
      <x:c r="B142" s="19" t="str">
        <x:v>RUN-20260727-02</x:v>
      </x:c>
      <x:c r="C142" s="19" t="str">
        <x:v>B-0066</x:v>
      </x:c>
      <x:c r="D142" s="19" t="str">
        <x:v>Final regression</x:v>
      </x:c>
      <x:c r="E142" s="19" t="str">
        <x:v>Isolated debug build, bundle me.cepessa.sessions.liquidqafinal; Swift suite 158 tests, 1 intentional skip, 0 failures</x:v>
      </x:c>
      <x:c r="F142" s="19" t="str">
        <x:v>macOS 26.5.2, arm64, isolated storage root, presentation-only recording state, production PID 53535 unchanged</x:v>
      </x:c>
      <x:c r="G142" s="19" t="str">
        <x:v>A Reveal action is visible.</x:v>
      </x:c>
      <x:c r="H142" s="19" t="str">
        <x:v>Execute the behavior in the isolated dev app when safely reachable; otherwise preserve the explicit blocker. Manual Finder observation</x:v>
      </x:c>
      <x:c r="I142" s="19" t="str">
        <x:v>Finder opens the selected Sessions, Clips, or Models location.</x:v>
      </x:c>
      <x:c r="J142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42" s="19" t="str">
        <x:v>Blocked</x:v>
      </x:c>
      <x:c r="L142" s="19" t="str">
        <x:v>/tmp/cepessa-liquidqa-full-final.log</x:v>
      </x:c>
      <x:c r="M142" s="19" t="str">
        <x:v>Codex independent verification</x:v>
      </x:c>
      <x:c r="N142" s="19" t="n">
        <x:v>46230.270833333336</x:v>
      </x:c>
      <x:c r="O142" s="19" t="str">
        <x:v>Incomplete, not failed: no runtime claim is inferred from source or the passing Swift suite.</x:v>
      </x:c>
    </x:row>
    <x:row r="143" ht="72" customHeight="1">
      <x:c r="A143" s="19" t="str">
        <x:v>T-0142</x:v>
      </x:c>
      <x:c r="B143" s="19" t="str">
        <x:v>RUN-20260727-02</x:v>
      </x:c>
      <x:c r="C143" s="19" t="str">
        <x:v>B-0067</x:v>
      </x:c>
      <x:c r="D143" s="19" t="str">
        <x:v>Final regression</x:v>
      </x:c>
      <x:c r="E143" s="19" t="str">
        <x:v>Isolated debug build, bundle me.cepessa.sessions.liquidqafinal; Swift suite 158 tests, 1 intentional skip, 0 failures</x:v>
      </x:c>
      <x:c r="F143" s="19" t="str">
        <x:v>macOS 26.5.2, arm64, isolated storage root, presentation-only recording state, production PID 53535 unchanged</x:v>
      </x:c>
      <x:c r="G143" s="19" t="str">
        <x:v>Isolated Sessions storage contains disposable data.</x:v>
      </x:c>
      <x:c r="H143" s="19" t="str">
        <x:v>Execute the behavior in the isolated dev app when safely reachable; otherwise preserve the explicit blocker. Source review only unless explicitly authorized in isolated storage</x:v>
      </x:c>
      <x:c r="I143" s="19" t="str">
        <x:v>All non-hidden children are immediately deleted and the session model reloads.</x:v>
      </x:c>
      <x:c r="J143" s="19" t="str">
        <x:v>Source and UI inspection confirmed confirmation-gated deletion and active session/clip operation interlocks.</x:v>
      </x:c>
      <x:c r="K143" s="19" t="str">
        <x:v>Pass</x:v>
      </x:c>
      <x:c r="L143" s="19" t="str">
        <x:v>CepessaSessionsShellPages.swift; /tmp/cepessa-liquidqa-settings3-snapshot.json</x:v>
      </x:c>
      <x:c r="M143" s="19" t="str">
        <x:v>Codex independent verification</x:v>
      </x:c>
      <x:c r="N143" s="19" t="n">
        <x:v>46230.270833333336</x:v>
      </x:c>
      <x:c r="O143" s="19" t="str"/>
    </x:row>
    <x:row r="144" ht="72" customHeight="1">
      <x:c r="A144" s="19" t="str">
        <x:v>T-0143</x:v>
      </x:c>
      <x:c r="B144" s="19" t="str">
        <x:v>RUN-20260727-02</x:v>
      </x:c>
      <x:c r="C144" s="19" t="str">
        <x:v>B-0068</x:v>
      </x:c>
      <x:c r="D144" s="19" t="str">
        <x:v>Final regression</x:v>
      </x:c>
      <x:c r="E144" s="19" t="str">
        <x:v>Isolated debug build, bundle me.cepessa.sessions.liquidqafinal; Swift suite 158 tests, 1 intentional skip, 0 failures</x:v>
      </x:c>
      <x:c r="F144" s="19" t="str">
        <x:v>macOS 26.5.2, arm64, isolated storage root, presentation-only recording state, production PID 53535 unchanged</x:v>
      </x:c>
      <x:c r="G144" s="19" t="str">
        <x:v>Isolated Clips storage contains disposable data.</x:v>
      </x:c>
      <x:c r="H144" s="19" t="str">
        <x:v>Execute the behavior in the isolated dev app when safely reachable; otherwise preserve the explicit blocker. Source review only unless explicitly authorized in isolated storage</x:v>
      </x:c>
      <x:c r="I144" s="19" t="str">
        <x:v>All non-hidden children are immediately deleted.</x:v>
      </x:c>
      <x:c r="J144" s="19" t="str">
        <x:v>Source and UI inspection confirmed confirmation-gated clip deletion and a live-clip interlock.</x:v>
      </x:c>
      <x:c r="K144" s="19" t="str">
        <x:v>Pass</x:v>
      </x:c>
      <x:c r="L144" s="19" t="str">
        <x:v>CepessaSessionsShellPages.swift; /tmp/cepessa-liquidqa-settings3-snapshot.json</x:v>
      </x:c>
      <x:c r="M144" s="19" t="str">
        <x:v>Codex independent verification</x:v>
      </x:c>
      <x:c r="N144" s="19" t="n">
        <x:v>46230.270833333336</x:v>
      </x:c>
      <x:c r="O144" s="19" t="str"/>
    </x:row>
    <x:row r="145" ht="72" customHeight="1">
      <x:c r="A145" s="19" t="str">
        <x:v>T-0144</x:v>
      </x:c>
      <x:c r="B145" s="19" t="str">
        <x:v>RUN-20260727-02</x:v>
      </x:c>
      <x:c r="C145" s="19" t="str">
        <x:v>B-0069</x:v>
      </x:c>
      <x:c r="D145" s="19" t="str">
        <x:v>Final regression</x:v>
      </x:c>
      <x:c r="E145" s="19" t="str">
        <x:v>Isolated debug build, bundle me.cepessa.sessions.liquidqafinal; Swift suite 158 tests, 1 intentional skip, 0 failures</x:v>
      </x:c>
      <x:c r="F145" s="19" t="str">
        <x:v>macOS 26.5.2, arm64, isolated storage root, presentation-only recording state, production PID 53535 unchanged</x:v>
      </x:c>
      <x:c r="G145" s="19" t="str">
        <x:v>The app is running and no modal workflow is active.</x:v>
      </x:c>
      <x:c r="H145" s="19" t="str">
        <x:v>Execute the behavior in the isolated dev app when safely reachable; otherwise preserve the explicit blocker. Agent-swift</x:v>
      </x:c>
      <x:c r="I145" s="19" t="str">
        <x:v>The Settings window becomes visible and exposes capture, permission, and storage controls.</x:v>
      </x:c>
      <x:c r="J145" s="19" t="str">
        <x:v>The status menu opened a dedicated Sessions Settings window with Capture, Permissions, and Local Storage groups.</x:v>
      </x:c>
      <x:c r="K145" s="19" t="str">
        <x:v>Pass</x:v>
      </x:c>
      <x:c r="L145" s="19" t="str">
        <x:v>/tmp/cepessa-liquidqa-settings3.png; /tmp/cepessa-liquidqa-settings3-snapshot.json</x:v>
      </x:c>
      <x:c r="M145" s="19" t="str">
        <x:v>Codex independent verification</x:v>
      </x:c>
      <x:c r="N145" s="19" t="n">
        <x:v>46230.270833333336</x:v>
      </x:c>
      <x:c r="O145" s="19" t="str"/>
    </x:row>
    <x:row r="146" ht="72" customHeight="1">
      <x:c r="A146" s="19" t="str">
        <x:v>T-0145</x:v>
      </x:c>
      <x:c r="B146" s="19" t="str">
        <x:v>RUN-20260727-02</x:v>
      </x:c>
      <x:c r="C146" s="19" t="str">
        <x:v>B-0070</x:v>
      </x:c>
      <x:c r="D146" s="19" t="str">
        <x:v>Final regression</x:v>
      </x:c>
      <x:c r="E146" s="19" t="str">
        <x:v>Isolated debug build, bundle me.cepessa.sessions.liquidqafinal; Swift suite 158 tests, 1 intentional skip, 0 failures</x:v>
      </x:c>
      <x:c r="F146" s="19" t="str">
        <x:v>macOS 26.5.2, arm64, isolated storage root, presentation-only recording state, production PID 53535 unchanged</x:v>
      </x:c>
      <x:c r="G146" s="19" t="str">
        <x:v>The app is idle.</x:v>
      </x:c>
      <x:c r="H146" s="19" t="str">
        <x:v>Execute the behavior in the isolated dev app when safely reachable; otherwise preserve the explicit blocker. Dev-app lifecycle test only</x:v>
      </x:c>
      <x:c r="I146" s="19" t="str">
        <x:v>The app terminates without leaving active capture writers.</x:v>
      </x:c>
      <x:c r="J146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46" s="19" t="str">
        <x:v>Blocked</x:v>
      </x:c>
      <x:c r="L146" s="19" t="str">
        <x:v>/tmp/cepessa-liquidqa-full-final.log</x:v>
      </x:c>
      <x:c r="M146" s="19" t="str">
        <x:v>Codex independent verification</x:v>
      </x:c>
      <x:c r="N146" s="19" t="n">
        <x:v>46230.270833333336</x:v>
      </x:c>
      <x:c r="O146" s="19" t="str">
        <x:v>Incomplete, not failed: no runtime claim is inferred from source or the passing Swift suite.</x:v>
      </x:c>
    </x:row>
    <x:row r="147" ht="72" customHeight="1">
      <x:c r="A147" s="19" t="str">
        <x:v>T-0146</x:v>
      </x:c>
      <x:c r="B147" s="19" t="str">
        <x:v>RUN-20260727-02</x:v>
      </x:c>
      <x:c r="C147" s="19" t="str">
        <x:v>B-0071</x:v>
      </x:c>
      <x:c r="D147" s="19" t="str">
        <x:v>Final regression</x:v>
      </x:c>
      <x:c r="E147" s="19" t="str">
        <x:v>Isolated debug build, bundle me.cepessa.sessions.liquidqafinal; Swift suite 158 tests, 1 intentional skip, 0 failures</x:v>
      </x:c>
      <x:c r="F147" s="19" t="str">
        <x:v>macOS 26.5.2, arm64, isolated storage root, presentation-only recording state, production PID 53535 unchanged</x:v>
      </x:c>
      <x:c r="G147" s="19" t="str">
        <x:v>The meeting-brain evidence pipeline exists.</x:v>
      </x:c>
      <x:c r="H147" s="19" t="str">
        <x:v>Execute the behavior in the isolated dev app when safely reachable; otherwise preserve the explicit blocker. Source and runtime surface reconciliation</x:v>
      </x:c>
      <x:c r="I147" s="19" t="str">
        <x:v>A clear meeting-brain connection, health, and standalone mode surface is available.</x:v>
      </x:c>
      <x:c r="J147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47" s="19" t="str">
        <x:v>Blocked</x:v>
      </x:c>
      <x:c r="L147" s="19" t="str">
        <x:v>/tmp/cepessa-liquidqa-full-final.log</x:v>
      </x:c>
      <x:c r="M147" s="19" t="str">
        <x:v>Codex independent verification</x:v>
      </x:c>
      <x:c r="N147" s="19" t="n">
        <x:v>46230.270833333336</x:v>
      </x:c>
      <x:c r="O147" s="19" t="str">
        <x:v>Incomplete, not failed: no runtime claim is inferred from source or the passing Swift suite.</x:v>
      </x:c>
    </x:row>
    <x:row r="148" ht="72" customHeight="1">
      <x:c r="A148" s="19" t="str">
        <x:v>T-0147</x:v>
      </x:c>
      <x:c r="B148" s="19" t="str">
        <x:v>RUN-20260727-02</x:v>
      </x:c>
      <x:c r="C148" s="19" t="str">
        <x:v>B-0072</x:v>
      </x:c>
      <x:c r="D148" s="19" t="str">
        <x:v>Final regression</x:v>
      </x:c>
      <x:c r="E148" s="19" t="str">
        <x:v>Isolated debug build, bundle me.cepessa.sessions.liquidqafinal; Swift suite 158 tests, 1 intentional skip, 0 failures</x:v>
      </x:c>
      <x:c r="F148" s="19" t="str">
        <x:v>macOS 26.5.2, arm64, isolated storage root, presentation-only recording state, production PID 53535 unchanged</x:v>
      </x:c>
      <x:c r="G148" s="19" t="str">
        <x:v>The installed app is idle.</x:v>
      </x:c>
      <x:c r="H148" s="19" t="str">
        <x:v>Execute the behavior in the isolated dev app when safely reachable; otherwise preserve the explicit blocker. WindowServer geometry + screenshot</x:v>
      </x:c>
      <x:c r="I148" s="19" t="str">
        <x:v>The persistent idle indicator uses a compact non-obstructive footprint.</x:v>
      </x:c>
      <x:c r="J148" s="19" t="str">
        <x:v>Runtime AX geometry measured 22×22 idle and 66×22 recording.</x:v>
      </x:c>
      <x:c r="K148" s="19" t="str">
        <x:v>Pass</x:v>
      </x:c>
      <x:c r="L148" s="19" t="str">
        <x:v>/tmp/cepessa-liquidqa-ax-final-idle.json; /tmp/cepessa-liquidqa-ax-final-recording.json</x:v>
      </x:c>
      <x:c r="M148" s="19" t="str">
        <x:v>Codex independent verification</x:v>
      </x:c>
      <x:c r="N148" s="19" t="n">
        <x:v>46230.270833333336</x:v>
      </x:c>
      <x:c r="O148" s="19" t="str"/>
    </x:row>
    <x:row r="149" ht="72" customHeight="1">
      <x:c r="A149" s="19" t="str">
        <x:v>T-0148</x:v>
      </x:c>
      <x:c r="B149" s="19" t="str">
        <x:v>RUN-20260727-02</x:v>
      </x:c>
      <x:c r="C149" s="19" t="str">
        <x:v>B-0073</x:v>
      </x:c>
      <x:c r="D149" s="19" t="str">
        <x:v>Final regression</x:v>
      </x:c>
      <x:c r="E149" s="19" t="str">
        <x:v>Isolated debug build, bundle me.cepessa.sessions.liquidqafinal; Swift suite 158 tests, 1 intentional skip, 0 failures</x:v>
      </x:c>
      <x:c r="F149" s="19" t="str">
        <x:v>macOS 26.5.2, arm64, isolated storage root, presentation-only recording state, production PID 53535 unchanged</x:v>
      </x:c>
      <x:c r="G149" s="19" t="str">
        <x:v>The installed app is idle.</x:v>
      </x:c>
      <x:c r="H149" s="19" t="str">
        <x:v>Execute the behavior in the isolated dev app when safely reachable; otherwise preserve the explicit blocker. Repeated process samples</x:v>
      </x:c>
      <x:c r="I149" s="19" t="str">
        <x:v>Idle CPU remains negligible and memory remains stable.</x:v>
      </x:c>
      <x:c r="J149" s="19" t="str">
        <x:v>Not executed in this safe pass because it requires real capture/permission changes, seeded transcript or attachment fixtures, destructive interaction, OS panels, multi-display state, or a complete assistive-technology traversal.</x:v>
      </x:c>
      <x:c r="K149" s="19" t="str">
        <x:v>Blocked</x:v>
      </x:c>
      <x:c r="L149" s="19" t="str">
        <x:v>/tmp/cepessa-liquidqa-full-final.log</x:v>
      </x:c>
      <x:c r="M149" s="19" t="str">
        <x:v>Codex independent verification</x:v>
      </x:c>
      <x:c r="N149" s="19" t="n">
        <x:v>46230.270833333336</x:v>
      </x:c>
      <x:c r="O149" s="19" t="str">
        <x:v>Incomplete, not failed: no runtime claim is inferred from source or the passing Swift suite.</x:v>
      </x:c>
    </x:row>
    <x:row r="150" ht="72" customHeight="1">
      <x:c r="A150" s="19" t="str">
        <x:v>T-0149</x:v>
      </x:c>
      <x:c r="B150" s="19" t="str">
        <x:v>RUN-20260727-02</x:v>
      </x:c>
      <x:c r="C150" s="19" t="str">
        <x:v>B-0074</x:v>
      </x:c>
      <x:c r="D150" s="19" t="str">
        <x:v>Final regression</x:v>
      </x:c>
      <x:c r="E150" s="19" t="str">
        <x:v>Isolated debug build, bundle me.cepessa.sessions.liquidqafinal; Swift suite 158 tests, 1 intentional skip, 0 failures</x:v>
      </x:c>
      <x:c r="F150" s="19" t="str">
        <x:v>macOS 26.5.2, arm64, isolated storage root, presentation-only recording state, production PID 53535 unchanged</x:v>
      </x:c>
      <x:c r="G150" s="19" t="str">
        <x:v>The floating bar is hidden and the menu-bar item is the only visible control.</x:v>
      </x:c>
      <x:c r="H150" s="19" t="str">
        <x:v>Execute the behavior in the isolated dev app when safely reachable; otherwise preserve the explicit blocker. agent-swift AX inspection</x:v>
      </x:c>
      <x:c r="I150" s="19" t="str">
        <x:v>The control exposes a meaningful label, value, and action.</x:v>
      </x:c>
      <x:c r="J150" s="19" t="str">
        <x:v>The menu-bar item exposed meaningful idle and recording labels; the hidden-state menu retained Show and Stop.</x:v>
      </x:c>
      <x:c r="K150" s="19" t="str">
        <x:v>Pass</x:v>
      </x:c>
      <x:c r="L150" s="19" t="str">
        <x:v>/tmp/cepessa-liquidqa-ax-final-idle.json; /tmp/cepessa-liquidqa-ax-final-recording.json; /tmp/cepessa-liquidqa-hidden-menu.json</x:v>
      </x:c>
      <x:c r="M150" s="19" t="str">
        <x:v>Codex independent verification</x:v>
      </x:c>
      <x:c r="N150" s="19" t="n">
        <x:v>46230.270833333336</x:v>
      </x:c>
      <x:c r="O150" s="19" t="str"/>
    </x:row>
    <x:row r="151" ht="72" customHeight="1">
      <x:c r="A151" s="19" t="str">
        <x:v>T-0150</x:v>
      </x:c>
      <x:c r="B151" s="19" t="str">
        <x:v>RUN-20260727-02</x:v>
      </x:c>
      <x:c r="C151" s="19" t="str">
        <x:v>B-0075</x:v>
      </x:c>
      <x:c r="D151" s="19" t="str">
        <x:v>Final regression</x:v>
      </x:c>
      <x:c r="E151" s="19" t="str">
        <x:v>Isolated debug build, bundle me.cepessa.sessions.liquidqafinal; Swift suite 158 tests, 1 intentional skip, 0 failures</x:v>
      </x:c>
      <x:c r="F151" s="19" t="str">
        <x:v>macOS 26.5.2, arm64, isolated storage root, presentation-only recording state, production PID 53535 unchanged</x:v>
      </x:c>
      <x:c r="G151" s="19" t="str">
        <x:v>The production app is running.</x:v>
      </x:c>
      <x:c r="H151" s="19" t="str">
        <x:v>Execute the behavior in the isolated dev app when safely reachable; otherwise preserve the explicit blocker. agent-swift menu inventory</x:v>
      </x:c>
      <x:c r="I151" s="19" t="str">
        <x:v>App, Edit, View, Window, and Help menus remain available with standard commands.</x:v>
      </x:c>
      <x:c r="J151" s="19" t="str">
        <x:v>The dev app retained native App, Edit, View, Window, and Help menus.</x:v>
      </x:c>
      <x:c r="K151" s="19" t="str">
        <x:v>Pass</x:v>
      </x:c>
      <x:c r="L151" s="19" t="str">
        <x:v>/tmp/cepessa-liquidqa-start3.json</x:v>
      </x:c>
      <x:c r="M151" s="19" t="str">
        <x:v>Codex independent verification</x:v>
      </x:c>
      <x:c r="N151" s="19" t="n">
        <x:v>46230.270833333336</x:v>
      </x:c>
      <x:c r="O151" s="19" t="str"/>
    </x:row>
  </x:sheetData>
  <x:dataValidations count="1">
    <x:dataValidation type="list" sqref="K2:K5000">
      <x:formula1>"Pass,Fail,Blocked,N/A"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32579766314c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22" hidden="0" customWidth="1"/>
    <x:col min="5" max="5" width="14" hidden="0" customWidth="1"/>
    <x:col min="6" max="6" width="34" hidden="0" customWidth="1"/>
    <x:col min="7" max="7" width="44" hidden="0" customWidth="1"/>
    <x:col min="8" max="8" width="40" hidden="0" customWidth="1"/>
    <x:col min="9" max="9" width="44" hidden="0" customWidth="1"/>
    <x:col min="10" max="10" width="44" hidden="0" customWidth="1"/>
    <x:col min="11" max="11" width="20" hidden="0" customWidth="1"/>
    <x:col min="12" max="12" width="20" hidden="0" customWidth="1"/>
    <x:col min="13" max="13" width="44" hidden="0" customWidth="1"/>
    <x:col min="14" max="14" width="38" hidden="0" customWidth="1"/>
    <x:col min="15" max="15" width="32" hidden="0" customWidth="1"/>
    <x:col min="16" max="16" width="18" hidden="0" customWidth="1"/>
    <x:col min="17" max="17" width="18" hidden="0" customWidth="1"/>
    <x:col min="18" max="18" width="42" hidden="0" customWidth="1"/>
    <x:col min="19" max="19" width="42" hidden="0" customWidth="1"/>
  </x:cols>
  <x:sheetData>
    <x:row r="1" ht="34" customHeight="1">
      <x:c r="A1" s="9" t="str">
        <x:v>defect_id</x:v>
      </x:c>
      <x:c r="B1" s="10" t="str">
        <x:v>behavior_ids</x:v>
      </x:c>
      <x:c r="C1" s="10" t="str">
        <x:v>fingerprint</x:v>
      </x:c>
      <x:c r="D1" s="10" t="str">
        <x:v>category</x:v>
      </x:c>
      <x:c r="E1" s="10" t="str">
        <x:v>severity</x:v>
      </x:c>
      <x:c r="F1" s="10" t="str">
        <x:v>title</x:v>
      </x:c>
      <x:c r="G1" s="10" t="str">
        <x:v>reproduction</x:v>
      </x:c>
      <x:c r="H1" s="10" t="str">
        <x:v>expected</x:v>
      </x:c>
      <x:c r="I1" s="10" t="str">
        <x:v>actual</x:v>
      </x:c>
      <x:c r="J1" s="10" t="str">
        <x:v>evidence</x:v>
      </x:c>
      <x:c r="K1" s="10" t="str">
        <x:v>status</x:v>
      </x:c>
      <x:c r="L1" s="10" t="str">
        <x:v>approval_state</x:v>
      </x:c>
      <x:c r="M1" s="10" t="str">
        <x:v>root_cause</x:v>
      </x:c>
      <x:c r="N1" s="10" t="str">
        <x:v>fix_reference</x:v>
      </x:c>
      <x:c r="O1" s="10" t="str">
        <x:v>fixed_build</x:v>
      </x:c>
      <x:c r="P1" s="10" t="str">
        <x:v>targeted_retest_id</x:v>
      </x:c>
      <x:c r="Q1" s="10" t="str">
        <x:v>final_regression_id</x:v>
      </x:c>
      <x:c r="R1" s="10" t="str">
        <x:v>blocker_or_acceptance_reason</x:v>
      </x:c>
      <x:c r="S1" s="11" t="str">
        <x:v>notes</x:v>
      </x:c>
    </x:row>
    <x:row r="2" ht="72" customHeight="1">
      <x:c r="A2" s="18" t="str">
        <x:v>D-0001</x:v>
      </x:c>
      <x:c r="B2" s="18" t="str">
        <x:v>B-0072; B-0020; B-0021</x:v>
      </x:c>
      <x:c r="C2" s="18" t="str">
        <x:v>floating-panel-oversized-dense</x:v>
      </x:c>
      <x:c r="D2" s="18" t="str">
        <x:v>UX</x:v>
      </x:c>
      <x:c r="E2" s="18" t="str">
        <x:v>High</x:v>
      </x:c>
      <x:c r="F2" s="18" t="str">
        <x:v>Floating recording bar is oversized and visually busy</x:v>
      </x:c>
      <x:c r="G2" s="18" t="str">
        <x:v>Observe the installed idle floating panel or the current 208×36 source lozenge.</x:v>
      </x:c>
      <x:c r="H2" s="18" t="str">
        <x:v>A non-obstructive indicator presents only recording trust and one deliberate path to controls.</x:v>
      </x:c>
      <x:c r="I2" s="18" t="str">
        <x:v>Installed idle panel is 356×64; the current source still renders redundant labels, health, waveform, and expansion affordances.</x:v>
      </x:c>
      <x:c r="J2" s="18" t="str">
        <x:v>/tmp/cepessa-sessions-production-qa/04-window-inventory.txt; user report 2026-07-27</x:v>
      </x:c>
      <x:c r="K2" s="18" t="str">
        <x:v>Verified fixed</x:v>
      </x:c>
      <x:c r="L2" s="18" t="str">
        <x:v>Authorized by Ben on 2026-07-27</x:v>
      </x:c>
      <x:c r="M2" s="18" t="str">
        <x:v>The indicator is composed as a miniature control dashboard instead of a liveness signal.</x:v>
      </x:c>
      <x:c r="N2" s="18" t="str">
        <x:v>CepessaSessionFloatingBar.swift; CepessaSessionIndicatorModel.swift</x:v>
      </x:c>
      <x:c r="O2" s="18" t="str">
        <x:v>Isolated debug build, bundle me.cepessa.sessions.liquidqafinal; Swift suite 158 tests, 1 intentional skip, 0 failures</x:v>
      </x:c>
      <x:c r="P2" s="18" t="str">
        <x:v>T-0095; T-0096; T-0147</x:v>
      </x:c>
      <x:c r="Q2" s="18" t="str">
        <x:v>RUN-20260727-02</x:v>
      </x:c>
      <x:c r="R2" s="18" t="str"/>
      <x:c r="S2" s="18" t="str">
        <x:v>Verified in the isolated dev app, focused tests, full Swift suite, or an exact source assertion as cited.</x:v>
      </x:c>
    </x:row>
    <x:row r="3" ht="72" customHeight="1">
      <x:c r="A3" s="19" t="str">
        <x:v>D-0002</x:v>
      </x:c>
      <x:c r="B3" s="19" t="str">
        <x:v>B-0074</x:v>
      </x:c>
      <x:c r="C3" s="19" t="str">
        <x:v>status-item-empty-ax-label</x:v>
      </x:c>
      <x:c r="D3" s="19" t="str">
        <x:v>Accessibility</x:v>
      </x:c>
      <x:c r="E3" s="19" t="str">
        <x:v>High</x:v>
      </x:c>
      <x:c r="F3" s="19" t="str">
        <x:v>Menu-bar status item has no accessible name</x:v>
      </x:c>
      <x:c r="G3" s="19" t="str">
        <x:v>Inspect the only visible control while the floating bar is hidden.</x:v>
      </x:c>
      <x:c r="H3" s="19" t="str">
        <x:v>Assistive technology receives a meaningful recording state and action.</x:v>
      </x:c>
      <x:c r="I3" s="19" t="str">
        <x:v>AXPress is supported, but label, text, and identifier are empty.</x:v>
      </x:c>
      <x:c r="J3" s="19" t="str">
        <x:v>/tmp/cepessa-sessions-production-qa/05-status-accessibility.json</x:v>
      </x:c>
      <x:c r="K3" s="19" t="str">
        <x:v>Verified fixed</x:v>
      </x:c>
      <x:c r="L3" s="19" t="str">
        <x:v>Authorized by Ben on 2026-07-27</x:v>
      </x:c>
      <x:c r="M3" s="19" t="str">
        <x:v>The AppKit status-item button is not assigned an accessibility label/value.</x:v>
      </x:c>
      <x:c r="N3" s="19" t="str">
        <x:v>CepessaSessionStatusBar.swift</x:v>
      </x:c>
      <x:c r="O3" s="19" t="str">
        <x:v>Isolated debug build, bundle me.cepessa.sessions.liquidqafinal; Swift suite 158 tests, 1 intentional skip, 0 failures</x:v>
      </x:c>
      <x:c r="P3" s="19" t="str">
        <x:v>T-0149</x:v>
      </x:c>
      <x:c r="Q3" s="19" t="str">
        <x:v>RUN-20260727-02</x:v>
      </x:c>
      <x:c r="R3" s="19" t="str"/>
      <x:c r="S3" s="19" t="str">
        <x:v>Verified in the isolated dev app, focused tests, full Swift suite, or an exact source assertion as cited.</x:v>
      </x:c>
    </x:row>
    <x:row r="4" ht="72" customHeight="1">
      <x:c r="A4" s="19" t="str">
        <x:v>D-0003</x:v>
      </x:c>
      <x:c r="B4" s="19" t="str">
        <x:v>B-0067; B-0068</x:v>
      </x:c>
      <x:c r="C4" s="19" t="str">
        <x:v>storage-clear-no-confirmation-or-interlock</x:v>
      </x:c>
      <x:c r="D4" s="19" t="str">
        <x:v>State/Data</x:v>
      </x:c>
      <x:c r="E4" s="19" t="str">
        <x:v>Critical</x:v>
      </x:c>
      <x:c r="F4" s="19" t="str">
        <x:v>Clear Sessions and Clear Clips delete immediately</x:v>
      </x:c>
      <x:c r="G4" s="19" t="str">
        <x:v>Inspect the Settings storage actions in source; do not execute them against production.</x:v>
      </x:c>
      <x:c r="H4" s="19" t="str">
        <x:v>Destructive deletion requires explicit confirmation, exact target disclosure, and active-operation interlock.</x:v>
      </x:c>
      <x:c r="I4" s="19" t="str">
        <x:v>One click removes all non-hidden children and can run while writers are active.</x:v>
      </x:c>
      <x:c r="J4" s="19" t="str">
        <x:v>CepessaSessionsShellPages.swift:1717-1745</x:v>
      </x:c>
      <x:c r="K4" s="19" t="str">
        <x:v>Verified fixed</x:v>
      </x:c>
      <x:c r="L4" s="19" t="str">
        <x:v>Authorized by Ben on 2026-07-27</x:v>
      </x:c>
      <x:c r="M4" s="19" t="str">
        <x:v>Destructive buttons call deletion directly without confirmation, undo, or recorder-state guard.</x:v>
      </x:c>
      <x:c r="N4" s="19" t="str">
        <x:v>CepessaSessionsShellPages.swift</x:v>
      </x:c>
      <x:c r="O4" s="19" t="str">
        <x:v>Isolated debug build, bundle me.cepessa.sessions.liquidqafinal; Swift suite 158 tests, 1 intentional skip, 0 failures</x:v>
      </x:c>
      <x:c r="P4" s="19" t="str">
        <x:v>T-0142; T-0143</x:v>
      </x:c>
      <x:c r="Q4" s="19" t="str">
        <x:v>RUN-20260727-02</x:v>
      </x:c>
      <x:c r="R4" s="19" t="str"/>
      <x:c r="S4" s="19" t="str">
        <x:v>Verified in the isolated dev app, focused tests, full Swift suite, or an exact source assertion as cited.</x:v>
      </x:c>
    </x:row>
    <x:row r="5" ht="72" customHeight="1">
      <x:c r="A5" s="19" t="str">
        <x:v>D-0004</x:v>
      </x:c>
      <x:c r="B5" s="19" t="str">
        <x:v>B-0062</x:v>
      </x:c>
      <x:c r="C5" s="19" t="str">
        <x:v>keep-raw-audio-setting-unused</x:v>
      </x:c>
      <x:c r="D5" s="19" t="str">
        <x:v>Logic</x:v>
      </x:c>
      <x:c r="E5" s="19" t="str">
        <x:v>High</x:v>
      </x:c>
      <x:c r="F5" s="19" t="str">
        <x:v>Keep raw audio setting is not consumed</x:v>
      </x:c>
      <x:c r="G5" s="19" t="str">
        <x:v>Disable the visible preference and trace processing/cleanup consumers.</x:v>
      </x:c>
      <x:c r="H5" s="19" t="str">
        <x:v>The setting either controls retention safely or is not presented.</x:v>
      </x:c>
      <x:c r="I5" s="19" t="str">
        <x:v>No capture or processing path reads the preference.</x:v>
      </x:c>
      <x:c r="J5" s="19" t="str">
        <x:v>CepessaSessionsShellPages.swift:1779,1830-1835; source inventory</x:v>
      </x:c>
      <x:c r="K5" s="19" t="str">
        <x:v>Verified fixed</x:v>
      </x:c>
      <x:c r="L5" s="19" t="str">
        <x:v>Authorized by Ben on 2026-07-27</x:v>
      </x:c>
      <x:c r="M5" s="19" t="str">
        <x:v>A persisted UI preference was added without an implementation consumer.</x:v>
      </x:c>
      <x:c r="N5" s="19" t="str">
        <x:v>CepessaSessionsShellPages.swift</x:v>
      </x:c>
      <x:c r="O5" s="19" t="str">
        <x:v>Isolated debug build, bundle me.cepessa.sessions.liquidqafinal; Swift suite 158 tests, 1 intentional skip, 0 failures</x:v>
      </x:c>
      <x:c r="P5" s="19" t="str">
        <x:v>T-0137</x:v>
      </x:c>
      <x:c r="Q5" s="19" t="str">
        <x:v>RUN-20260727-02</x:v>
      </x:c>
      <x:c r="R5" s="19" t="str"/>
      <x:c r="S5" s="19" t="str">
        <x:v>Verified in the isolated dev app, focused tests, full Swift suite, or an exact source assertion as cited.</x:v>
      </x:c>
    </x:row>
    <x:row r="6" ht="72" customHeight="1">
      <x:c r="A6" s="19" t="str">
        <x:v>D-0005</x:v>
      </x:c>
      <x:c r="B6" s="19" t="str">
        <x:v>B-0044</x:v>
      </x:c>
      <x:c r="C6" s="19" t="str">
        <x:v>document-language-selector-no-effect</x:v>
      </x:c>
      <x:c r="D6" s="19" t="str">
        <x:v>Functional</x:v>
      </x:c>
      <x:c r="E6" s="19" t="str">
        <x:v>Medium</x:v>
      </x:c>
      <x:c r="F6" s="19" t="str">
        <x:v>Document language selector changes only its label</x:v>
      </x:c>
      <x:c r="G6" s="19" t="str">
        <x:v>Select English or Hebrew in the reachable transcript toolbar.</x:v>
      </x:c>
      <x:c r="H6" s="19" t="str">
        <x:v>The chosen language changes a documented reader or export behavior.</x:v>
      </x:c>
      <x:c r="I6" s="19" t="str">
        <x:v>The preference and toolbar title change, but reading/export paths do not consume it.</x:v>
      </x:c>
      <x:c r="J6" s="19" t="str">
        <x:v>CepessaSessionReadingView.swift:327-333,382-406,451-455</x:v>
      </x:c>
      <x:c r="K6" s="19" t="str">
        <x:v>Verified fixed</x:v>
      </x:c>
      <x:c r="L6" s="19" t="str">
        <x:v>Authorized by Ben on 2026-07-27</x:v>
      </x:c>
      <x:c r="M6" s="19" t="str">
        <x:v>The selection is not passed into the rendering or export pipeline.</x:v>
      </x:c>
      <x:c r="N6" s="19" t="str">
        <x:v>CepessaSessionReadingView.swift</x:v>
      </x:c>
      <x:c r="O6" s="19" t="str">
        <x:v>Isolated debug build, bundle me.cepessa.sessions.liquidqafinal; Swift suite 158 tests, 1 intentional skip, 0 failures</x:v>
      </x:c>
      <x:c r="P6" s="19" t="str">
        <x:v>T-0119</x:v>
      </x:c>
      <x:c r="Q6" s="19" t="str">
        <x:v>RUN-20260727-02</x:v>
      </x:c>
      <x:c r="R6" s="19" t="str"/>
      <x:c r="S6" s="19" t="str">
        <x:v>Verified in the isolated dev app, focused tests, full Swift suite, or an exact source assertion as cited.</x:v>
      </x:c>
    </x:row>
    <x:row r="7" ht="72" customHeight="1">
      <x:c r="A7" s="19" t="str">
        <x:v>D-0006</x:v>
      </x:c>
      <x:c r="B7" s="19" t="str">
        <x:v>B-0045; B-0046</x:v>
      </x:c>
      <x:c r="C7" s="19" t="str">
        <x:v>transcription-success-keeps-processing-snapshot</x:v>
      </x:c>
      <x:c r="D7" s="19" t="str">
        <x:v>State/Data</x:v>
      </x:c>
      <x:c r="E7" s="19" t="str">
        <x:v>High</x:v>
      </x:c>
      <x:c r="F7" s="19" t="str">
        <x:v>Successful transcription can remain permanently processing</x:v>
      </x:c>
      <x:c r="G7" s="19" t="str">
        <x:v>Complete a transcription and inspect processing snapshots/retranscription eligibility.</x:v>
      </x:c>
      <x:c r="H7" s="19" t="str">
        <x:v>Success clears processing state and re-enables valid later retranscription.</x:v>
      </x:c>
      <x:c r="I7" s="19" t="str">
        <x:v>The success path ends transcription without clearing its snapshot; eligibility rejects any session with a snapshot.</x:v>
      </x:c>
      <x:c r="J7" s="19" t="str">
        <x:v>LocalMeetingAppModel.swift:608,732</x:v>
      </x:c>
      <x:c r="K7" s="19" t="str">
        <x:v>Reproduced</x:v>
      </x:c>
      <x:c r="L7" s="19" t="str">
        <x:v>Authorized by Ben on 2026-07-27</x:v>
      </x:c>
      <x:c r="M7" s="19" t="str">
        <x:v>Processing lifecycle cleanup is incomplete on the success path.</x:v>
      </x:c>
      <x:c r="N7" s="19" t="str"/>
      <x:c r="O7" s="19" t="str"/>
      <x:c r="P7" s="19" t="str"/>
      <x:c r="Q7" s="19" t="str"/>
      <x:c r="R7" s="19" t="str"/>
      <x:c r="S7" s="19" t="str"/>
    </x:row>
    <x:row r="8" ht="72" customHeight="1">
      <x:c r="A8" s="19" t="str">
        <x:v>D-0007</x:v>
      </x:c>
      <x:c r="B8" s="19" t="str">
        <x:v>B-0016; B-0045</x:v>
      </x:c>
      <x:c r="C8" s="19" t="str">
        <x:v>mixed-import-never-ready-evidence</x:v>
      </x:c>
      <x:c r="D8" s="19" t="str">
        <x:v>Logic</x:v>
      </x:c>
      <x:c r="E8" s="19" t="str">
        <x:v>High</x:v>
      </x:c>
      <x:c r="F8" s="19" t="str">
        <x:v>Imported mixed audio cannot reach ready evidence</x:v>
      </x:c>
      <x:c r="G8" s="19" t="str">
        <x:v>Import or retry a mixed recording through the evidence contract.</x:v>
      </x:c>
      <x:c r="H8" s="19" t="str">
        <x:v>Supported imports complete with an honest ready or explicitly degraded usable disposition.</x:v>
      </x:c>
      <x:c r="I8" s="19" t="str">
        <x:v>Import supplies only mixed audio; mixed fallback is non-ready and every non-ready disposition becomes session failure.</x:v>
      </x:c>
      <x:c r="J8" s="19" t="str">
        <x:v>LocalMeetingAppModel.swift:574; evidence coordinator</x:v>
      </x:c>
      <x:c r="K8" s="19" t="str">
        <x:v>Reproduced</x:v>
      </x:c>
      <x:c r="L8" s="19" t="str">
        <x:v>Authorized by Ben on 2026-07-27</x:v>
      </x:c>
      <x:c r="M8" s="19" t="str">
        <x:v>Legacy mixed imports are routed through a strict primary-source contract without an import-specific disposition.</x:v>
      </x:c>
      <x:c r="N8" s="19" t="str"/>
      <x:c r="O8" s="19" t="str"/>
      <x:c r="P8" s="19" t="str"/>
      <x:c r="Q8" s="19" t="str"/>
      <x:c r="R8" s="19" t="str"/>
      <x:c r="S8" s="19" t="str"/>
    </x:row>
    <x:row r="9" ht="72" customHeight="1">
      <x:c r="A9" s="19" t="str">
        <x:v>D-0008</x:v>
      </x:c>
      <x:c r="B9" s="19" t="str">
        <x:v>B-0006; B-0025; B-0027</x:v>
      </x:c>
      <x:c r="C9" s="19" t="str">
        <x:v>informational-warning-classified-failure</x:v>
      </x:c>
      <x:c r="D9" s="19" t="str">
        <x:v>State/Data</x:v>
      </x:c>
      <x:c r="E9" s="19" t="str">
        <x:v>High</x:v>
      </x:c>
      <x:c r="F9" s="19" t="str">
        <x:v>Muted or partial capture warnings masquerade as total failure</x:v>
      </x:c>
      <x:c r="G9" s="19" t="str">
        <x:v>Mute the microphone or enter a recoverable one-source state.</x:v>
      </x:c>
      <x:c r="H9" s="19" t="str">
        <x:v>The UI distinguishes degraded capture from failed recording/transcription.</x:v>
      </x:c>
      <x:c r="I9" s="19" t="str">
        <x:v>Any non-empty recorder message wins error precedence and produces a failed status.</x:v>
      </x:c>
      <x:c r="J9" s="19" t="str">
        <x:v>CepessaSessionStatusBar.swift; CepessaSessionFloatingBar.swift; source verification</x:v>
      </x:c>
      <x:c r="K9" s="19" t="str">
        <x:v>Verified fixed</x:v>
      </x:c>
      <x:c r="L9" s="19" t="str">
        <x:v>Authorized by Ben on 2026-07-27</x:v>
      </x:c>
      <x:c r="M9" s="19" t="str">
        <x:v>One global error string mixes informational, degraded, and fatal states.</x:v>
      </x:c>
      <x:c r="N9" s="19" t="str">
        <x:v>CepessaSessionIndicatorModel.swift; CepessaSessionStatusBar.swift</x:v>
      </x:c>
      <x:c r="O9" s="19" t="str">
        <x:v>Isolated debug build, bundle me.cepessa.sessions.liquidqafinal; Swift suite 158 tests, 1 intentional skip, 0 failures</x:v>
      </x:c>
      <x:c r="P9" s="19" t="str">
        <x:v>T-0102</x:v>
      </x:c>
      <x:c r="Q9" s="19" t="str">
        <x:v>RUN-20260727-02</x:v>
      </x:c>
      <x:c r="R9" s="19" t="str"/>
      <x:c r="S9" s="19" t="str">
        <x:v>Verified in the isolated dev app, focused tests, full Swift suite, or an exact source assertion as cited.</x:v>
      </x:c>
    </x:row>
    <x:row r="10" ht="72" customHeight="1">
      <x:c r="A10" s="19" t="str">
        <x:v>D-0009</x:v>
      </x:c>
      <x:c r="B10" s="19" t="str">
        <x:v>B-0038</x:v>
      </x:c>
      <x:c r="C10" s="19" t="str">
        <x:v>transcript-hides-evidence-quality</x:v>
      </x:c>
      <x:c r="D10" s="19" t="str">
        <x:v>UX</x:v>
      </x:c>
      <x:c r="E10" s="19" t="str">
        <x:v>High</x:v>
      </x:c>
      <x:c r="F10" s="19" t="str">
        <x:v>Transcript reader does not expose evidence quality</x:v>
      </x:c>
      <x:c r="G10" s="19" t="str">
        <x:v>Open a non-empty degraded or failed-evidence transcript.</x:v>
      </x:c>
      <x:c r="H10" s="19" t="str">
        <x:v>The reader communicates source integrity, diarization, and uncertainty before presenting text as trustworthy.</x:v>
      </x:c>
      <x:c r="I10" s="19" t="str">
        <x:v>Non-empty degraded/failed text is rendered like an ordinary complete transcript.</x:v>
      </x:c>
      <x:c r="J10" s="19" t="str">
        <x:v>CepessaSessionReadingView.swift:131-180; source verification</x:v>
      </x:c>
      <x:c r="K10" s="19" t="str">
        <x:v>Reproduced</x:v>
      </x:c>
      <x:c r="L10" s="19" t="str">
        <x:v>Authorized by Ben on 2026-07-27</x:v>
      </x:c>
      <x:c r="M10" s="19" t="str">
        <x:v>The reachable reader consumes transcript text but not the evidence disposition.</x:v>
      </x:c>
      <x:c r="N10" s="19" t="str"/>
      <x:c r="O10" s="19" t="str"/>
      <x:c r="P10" s="19" t="str"/>
      <x:c r="Q10" s="19" t="str"/>
      <x:c r="R10" s="19" t="str"/>
      <x:c r="S10" s="19" t="str"/>
    </x:row>
    <x:row r="11" ht="72" customHeight="1">
      <x:c r="A11" s="19" t="str">
        <x:v>D-0010</x:v>
      </x:c>
      <x:c r="B11" s="19" t="str">
        <x:v>B-0055; B-0056; B-0057</x:v>
      </x:c>
      <x:c r="C11" s="19" t="str">
        <x:v>clip-ready-on-failure</x:v>
      </x:c>
      <x:c r="D11" s="19" t="str">
        <x:v>Logic</x:v>
      </x:c>
      <x:c r="E11" s="19" t="str">
        <x:v>High</x:v>
      </x:c>
      <x:c r="F11" s="19" t="str">
        <x:v>CLIP reports ready when audio or transcription failed</x:v>
      </x:c>
      <x:c r="G11" s="19" t="str">
        <x:v>Finish Clip processing with no audio or an injected transcription error.</x:v>
      </x:c>
      <x:c r="H11" s="19" t="str">
        <x:v>Failed/degraded Clips remain visibly failed or degraded and expose recovery.</x:v>
      </x:c>
      <x:c r="I11" s="19" t="str">
        <x:v>Status becomes ready and the UI says CLIP ready while errorMessage is not presented.</x:v>
      </x:c>
      <x:c r="J11" s="19" t="str">
        <x:v>LocalClipViewModel.swift:145-172; LocalClipsPage.swift</x:v>
      </x:c>
      <x:c r="K11" s="19" t="str">
        <x:v>Verified fixed</x:v>
      </x:c>
      <x:c r="L11" s="19" t="str">
        <x:v>Authorized by Ben on 2026-07-27</x:v>
      </x:c>
      <x:c r="M11" s="19" t="str">
        <x:v>The Clip state machine uses ready as a terminal umbrella and the UI ignores the attached error.</x:v>
      </x:c>
      <x:c r="N11" s="19" t="str">
        <x:v>LocalClipViewModel.swift; LocalClipsPage.swift</x:v>
      </x:c>
      <x:c r="O11" s="19" t="str">
        <x:v>Isolated debug build, bundle me.cepessa.sessions.liquidqafinal; Swift suite 158 tests, 1 intentional skip, 0 failures</x:v>
      </x:c>
      <x:c r="P11" s="19" t="str">
        <x:v>Swift suite + source verification</x:v>
      </x:c>
      <x:c r="Q11" s="19" t="str">
        <x:v>RUN-20260727-02</x:v>
      </x:c>
      <x:c r="R11" s="19" t="str"/>
      <x:c r="S11" s="19" t="str">
        <x:v>Verified in the isolated dev app, focused tests, full Swift suite, or an exact source assertion as cited.</x:v>
      </x:c>
    </x:row>
    <x:row r="12" ht="72" customHeight="1">
      <x:c r="A12" s="19" t="str">
        <x:v>D-0011</x:v>
      </x:c>
      <x:c r="B12" s="19" t="str">
        <x:v>B-0052; B-0053; B-0054</x:v>
      </x:c>
      <x:c r="C12" s="19" t="str">
        <x:v>clip-capture-start-not-validated</x:v>
      </x:c>
      <x:c r="D12" s="19" t="str">
        <x:v>Functional</x:v>
      </x:c>
      <x:c r="E12" s="19" t="str">
        <x:v>High</x:v>
      </x:c>
      <x:c r="F12" s="19" t="str">
        <x:v>CLIP capture startup and output are not validated</x:v>
      </x:c>
      <x:c r="G12" s="19" t="str">
        <x:v>Start screen capture with a failing process or missing output.</x:v>
      </x:c>
      <x:c r="H12" s="19" t="str">
        <x:v>Audio is stopped on startup failure and ready requires a valid playable video artifact.</x:v>
      </x:c>
      <x:c r="I12" s="19" t="str">
        <x:v>The process start is treated as success; output size/playability are not checked, and startup failure can leave audio recording active.</x:v>
      </x:c>
      <x:c r="J12" s="19" t="str">
        <x:v>LocalClipViewModel.swift:104-145</x:v>
      </x:c>
      <x:c r="K12" s="19" t="str">
        <x:v>Reproduced</x:v>
      </x:c>
      <x:c r="L12" s="19" t="str">
        <x:v>Authorized by Ben on 2026-07-27</x:v>
      </x:c>
      <x:c r="M12" s="19" t="str">
        <x:v>Capture components start sequentially without transactional rollback or artifact validation.</x:v>
      </x:c>
      <x:c r="N12" s="19" t="str"/>
      <x:c r="O12" s="19" t="str"/>
      <x:c r="P12" s="19" t="str"/>
      <x:c r="Q12" s="19" t="str"/>
      <x:c r="R12" s="19" t="str"/>
      <x:c r="S12" s="19" t="str"/>
    </x:row>
    <x:row r="13" ht="72" customHeight="1">
      <x:c r="A13" s="19" t="str">
        <x:v>D-0012</x:v>
      </x:c>
      <x:c r="B13" s="19" t="str">
        <x:v>B-0049; B-0050</x:v>
      </x:c>
      <x:c r="C13" s="19" t="str">
        <x:v>interrupted-clips-not-normalized</x:v>
      </x:c>
      <x:c r="D13" s="19" t="str">
        <x:v>State/Data</x:v>
      </x:c>
      <x:c r="E13" s="19" t="str">
        <x:v>Medium</x:v>
      </x:c>
      <x:c r="F13" s="19" t="str">
        <x:v>Interrupted CLIPS are loaded as permanently active</x:v>
      </x:c>
      <x:c r="G13" s="19" t="str">
        <x:v>Load stored recording or processing Clip manifests after restart.</x:v>
      </x:c>
      <x:c r="H13" s="19" t="str">
        <x:v>Interrupted states normalize to recoverable failed state or resume safely.</x:v>
      </x:c>
      <x:c r="I13" s="19" t="str">
        <x:v>Stored statuses load unchanged with no recovery transition.</x:v>
      </x:c>
      <x:c r="J13" s="19" t="str">
        <x:v>LocalClipStore.swift:23</x:v>
      </x:c>
      <x:c r="K13" s="19" t="str">
        <x:v>Verified fixed</x:v>
      </x:c>
      <x:c r="L13" s="19" t="str">
        <x:v>Authorized by Ben on 2026-07-27</x:v>
      </x:c>
      <x:c r="M13" s="19" t="str">
        <x:v>Clip persistence has no interrupted-session normalization.</x:v>
      </x:c>
      <x:c r="N13" s="19" t="str">
        <x:v>LocalClipViewModel.swift</x:v>
      </x:c>
      <x:c r="O13" s="19" t="str">
        <x:v>Isolated debug build, bundle me.cepessa.sessions.liquidqafinal; Swift suite 158 tests, 1 intentional skip, 0 failures</x:v>
      </x:c>
      <x:c r="P13" s="19" t="str">
        <x:v>Swift suite + source verification</x:v>
      </x:c>
      <x:c r="Q13" s="19" t="str">
        <x:v>RUN-20260727-02</x:v>
      </x:c>
      <x:c r="R13" s="19" t="str"/>
      <x:c r="S13" s="19" t="str">
        <x:v>Verified in the isolated dev app, focused tests, full Swift suite, or an exact source assertion as cited.</x:v>
      </x:c>
    </x:row>
    <x:row r="14" ht="72" customHeight="1">
      <x:c r="A14" s="19" t="str">
        <x:v>D-0013</x:v>
      </x:c>
      <x:c r="B14" s="19" t="str">
        <x:v>B-0013; B-0014</x:v>
      </x:c>
      <x:c r="C14" s="19" t="str">
        <x:v>session-toolbar-persists-on-clips-route</x:v>
      </x:c>
      <x:c r="D14" s="19" t="str">
        <x:v>UX</x:v>
      </x:c>
      <x:c r="E14" s="19" t="str">
        <x:v>Medium</x:v>
      </x:c>
      <x:c r="F14" s="19" t="str">
        <x:v>Transcript toolbar can remain visible on Clips</x:v>
      </x:c>
      <x:c r="G14" s="19" t="str">
        <x:v>Switch the main destination from Sessions to Clips.</x:v>
      </x:c>
      <x:c r="H14" s="19" t="str">
        <x:v>Toolbar commands match the active destination.</x:v>
      </x:c>
      <x:c r="I14" s="19" t="str">
        <x:v>Session/transcribe/export controls may remain installed while Clips is active.</x:v>
      </x:c>
      <x:c r="J14" s="19" t="str">
        <x:v>CepessaSessionsApp.swift; CepessaSessionReadingView.swift; source verification</x:v>
      </x:c>
      <x:c r="K14" s="19" t="str">
        <x:v>Verified fixed</x:v>
      </x:c>
      <x:c r="L14" s="19" t="str">
        <x:v>Authorized by Ben on 2026-07-27</x:v>
      </x:c>
      <x:c r="M14" s="19" t="str">
        <x:v>Toolbar ownership is attached above the destination boundary.</x:v>
      </x:c>
      <x:c r="N14" s="19" t="str">
        <x:v>CepessaSessionsApp.swift</x:v>
      </x:c>
      <x:c r="O14" s="19" t="str">
        <x:v>Isolated debug build, bundle me.cepessa.sessions.liquidqafinal; Swift suite 158 tests, 1 intentional skip, 0 failures</x:v>
      </x:c>
      <x:c r="P14" s="19" t="str">
        <x:v>T-0089</x:v>
      </x:c>
      <x:c r="Q14" s="19" t="str">
        <x:v>RUN-20260727-02</x:v>
      </x:c>
      <x:c r="R14" s="19" t="str"/>
      <x:c r="S14" s="19" t="str">
        <x:v>Verified in the isolated dev app, focused tests, full Swift suite, or an exact source assertion as cited.</x:v>
      </x:c>
    </x:row>
    <x:row r="15" ht="72" customHeight="1">
      <x:c r="A15" s="19" t="str">
        <x:v>D-0014</x:v>
      </x:c>
      <x:c r="B15" s="19" t="str">
        <x:v>B-0049; B-0065; B-0067; B-0068</x:v>
      </x:c>
      <x:c r="C15" s="19" t="str">
        <x:v>test-root-does-not-isolate-clips-settings</x:v>
      </x:c>
      <x:c r="D15" s="19" t="str">
        <x:v>Test harness</x:v>
      </x:c>
      <x:c r="E15" s="19" t="str">
        <x:v>Critical</x:v>
      </x:c>
      <x:c r="F15" s="19" t="str">
        <x:v>Dev tests can still resolve production Clips and Settings storage</x:v>
      </x:c>
      <x:c r="G15" s="19" t="str">
        <x:v>Launch an isolated debug build with CEPESSA_SESSIONS_TEST_ROOT.</x:v>
      </x:c>
      <x:c r="H15" s="19" t="str">
        <x:v>Every storage consumer resolves under the same isolated root.</x:v>
      </x:c>
      <x:c r="I15" s="19" t="str">
        <x:v>Sessions honors the override; Clips and Settings storage models still use production Application Support paths.</x:v>
      </x:c>
      <x:c r="J15" s="19" t="str">
        <x:v>LocalClipModels.swift; CepessaSessionsShellPages.swift; source verification</x:v>
      </x:c>
      <x:c r="K15" s="19" t="str">
        <x:v>Verified fixed</x:v>
      </x:c>
      <x:c r="L15" s="19" t="str">
        <x:v>Authorized by Ben on 2026-07-27</x:v>
      </x:c>
      <x:c r="M15" s="19" t="str">
        <x:v>Storage-root resolution is duplicated rather than shared.</x:v>
      </x:c>
      <x:c r="N15" s="19" t="str">
        <x:v>LocalClipModels.swift; LocalClipViewModel.swift; CepessaSessionsShellPages.swift</x:v>
      </x:c>
      <x:c r="O15" s="19" t="str">
        <x:v>Isolated debug build, bundle me.cepessa.sessions.liquidqafinal; Swift suite 158 tests, 1 intentional skip, 0 failures</x:v>
      </x:c>
      <x:c r="P15" s="19" t="str">
        <x:v>T-0140</x:v>
      </x:c>
      <x:c r="Q15" s="19" t="str">
        <x:v>RUN-20260727-02</x:v>
      </x:c>
      <x:c r="R15" s="19" t="str"/>
      <x:c r="S15" s="19" t="str">
        <x:v>Verified in the isolated dev app, focused tests, full Swift suite, or an exact source assertion as cited.</x:v>
      </x:c>
    </x:row>
    <x:row r="16" ht="72" customHeight="1">
      <x:c r="A16" s="19" t="str">
        <x:v>D-0015</x:v>
      </x:c>
      <x:c r="B16" s="19" t="str">
        <x:v>B-0048</x:v>
      </x:c>
      <x:c r="C16" s="19" t="str">
        <x:v>export-failure-beep-only</x:v>
      </x:c>
      <x:c r="D16" s="19" t="str">
        <x:v>UX</x:v>
      </x:c>
      <x:c r="E16" s="19" t="str">
        <x:v>Medium</x:v>
      </x:c>
      <x:c r="F16" s="19" t="str">
        <x:v>Transcript export failure is not explained</x:v>
      </x:c>
      <x:c r="G16" s="19" t="str">
        <x:v>Attempt export to an unwritable destination.</x:v>
      </x:c>
      <x:c r="H16" s="19" t="str">
        <x:v>A visible, actionable error explains that no file was written.</x:v>
      </x:c>
      <x:c r="I16" s="19" t="str">
        <x:v>The app only emits a system beep.</x:v>
      </x:c>
      <x:c r="J16" s="19" t="str">
        <x:v>CepessaSessionReadingView.swift:413-444</x:v>
      </x:c>
      <x:c r="K16" s="19" t="str">
        <x:v>Verified fixed</x:v>
      </x:c>
      <x:c r="L16" s="19" t="str">
        <x:v>Authorized by Ben on 2026-07-27</x:v>
      </x:c>
      <x:c r="M16" s="19" t="str">
        <x:v>Export errors are discarded at the view boundary.</x:v>
      </x:c>
      <x:c r="N16" s="19" t="str">
        <x:v>CepessaSessionReadingView.swift</x:v>
      </x:c>
      <x:c r="O16" s="19" t="str">
        <x:v>Isolated debug build, bundle me.cepessa.sessions.liquidqafinal; Swift suite 158 tests, 1 intentional skip, 0 failures</x:v>
      </x:c>
      <x:c r="P16" s="19" t="str">
        <x:v>Swift build + source verification</x:v>
      </x:c>
      <x:c r="Q16" s="19" t="str">
        <x:v>RUN-20260727-02</x:v>
      </x:c>
      <x:c r="R16" s="19" t="str"/>
      <x:c r="S16" s="19" t="str">
        <x:v>Verified in the isolated dev app, focused tests, full Swift suite, or an exact source assertion as cited.</x:v>
      </x:c>
    </x:row>
    <x:row r="17" ht="72" customHeight="1">
      <x:c r="A17" s="19" t="str">
        <x:v>D-0016</x:v>
      </x:c>
      <x:c r="B17" s="19" t="str">
        <x:v>B-0021; B-0072</x:v>
      </x:c>
      <x:c r="C17" s="19" t="str">
        <x:v>expanded-tray-persists-left-edge</x:v>
      </x:c>
      <x:c r="D17" s="19" t="str">
        <x:v>UX</x:v>
      </x:c>
      <x:c r="E17" s="19" t="str">
        <x:v>Medium</x:v>
      </x:c>
      <x:c r="F17" s="19" t="str">
        <x:v>Dragging the expanded tray shifts the resting indicator</x:v>
      </x:c>
      <x:c r="G17" s="19" t="str">
        <x:v>Open the 220pt tray, drag it, close it, or relaunch into the 22pt resting state.</x:v>
      </x:c>
      <x:c r="H17" s="19" t="str">
        <x:v>Every panel state preserves the user-selected horizontal center and top edge.</x:v>
      </x:c>
      <x:c r="I17" s="19" t="str">
        <x:v>The expanded tray's literal left edge was persisted, so the resting lozenge returned roughly 99pt left of the chosen center.</x:v>
      </x:c>
      <x:c r="J17" s="19" t="str">
        <x:v>CepessaSessionFloatingBar.swift; independent final source review</x:v>
      </x:c>
      <x:c r="K17" s="19" t="str">
        <x:v>Verified fixed</x:v>
      </x:c>
      <x:c r="L17" s="19" t="str">
        <x:v>Authorized by Ben on 2026-07-27</x:v>
      </x:c>
      <x:c r="M17" s="19" t="str">
        <x:v>Drag persistence stored state-dependent panel geometry instead of a normalized resting origin.</x:v>
      </x:c>
      <x:c r="N17" s="19" t="str">
        <x:v>CepessaSessionFloatingBar.swift; CepessaSessionIndicatorModel.swift</x:v>
      </x:c>
      <x:c r="O17" s="19" t="str">
        <x:v>Isolated debug build, bundle me.cepessa.sessions.liquidqafinal; Swift suite 158 tests, 1 intentional skip, 0 failures</x:v>
      </x:c>
      <x:c r="P17" s="19" t="str">
        <x:v>27 focused tests + full Swift suite</x:v>
      </x:c>
      <x:c r="Q17" s="19" t="str">
        <x:v>RUN-20260727-02</x:v>
      </x:c>
      <x:c r="R17" s="19" t="str"/>
      <x:c r="S17" s="19" t="str">
        <x:v>Verified in the isolated dev app, focused tests, full Swift suite, or an exact source assertion as cited.</x:v>
      </x:c>
    </x:row>
    <x:row r="18" ht="72" customHeight="1">
      <x:c r="A18" s="19" t="str">
        <x:v>D-0017</x:v>
      </x:c>
      <x:c r="B18" s="19" t="str">
        <x:v>B-0004; B-0074</x:v>
      </x:c>
      <x:c r="C18" s="19" t="str">
        <x:v>recording-warning-hides-visual-recording-state</x:v>
      </x:c>
      <x:c r="D18" s="19" t="str">
        <x:v>State/Data</x:v>
      </x:c>
      <x:c r="E18" s="19" t="str">
        <x:v>High</x:v>
      </x:c>
      <x:c r="F18" s="19" t="str">
        <x:v>Capture warning can replace the hidden recording signal</x:v>
      </x:c>
      <x:c r="G18" s="19" t="str">
        <x:v>Hide the floating indicator while recording, then surface a recorder warning.</x:v>
      </x:c>
      <x:c r="H18" s="19" t="str">
        <x:v>The menu-bar item keeps the record glyph and timer while adding a needs-attention warning.</x:v>
      </x:c>
      <x:c r="I18" s="19" t="str">
        <x:v>Failure precedence replaced the visible recording glyph and timer even though capture remained active.</x:v>
      </x:c>
      <x:c r="J18" s="19" t="str">
        <x:v>CepessaSessionStatusBar.swift; independent final source review</x:v>
      </x:c>
      <x:c r="K18" s="19" t="str">
        <x:v>Verified fixed</x:v>
      </x:c>
      <x:c r="L18" s="19" t="str">
        <x:v>Authorized by Ben on 2026-07-27</x:v>
      </x:c>
      <x:c r="M18" s="19" t="str">
        <x:v>A warning was modeled as the primary mode rather than supplementary health state on an active recording.</x:v>
      </x:c>
      <x:c r="N18" s="19" t="str">
        <x:v>CepessaSessionStatusBar.swift</x:v>
      </x:c>
      <x:c r="O18" s="19" t="str">
        <x:v>Isolated debug build, bundle me.cepessa.sessions.liquidqafinal; Swift suite 158 tests, 1 intentional skip, 0 failures</x:v>
      </x:c>
      <x:c r="P18" s="19" t="str">
        <x:v>27 focused tests + full Swift suite</x:v>
      </x:c>
      <x:c r="Q18" s="19" t="str">
        <x:v>RUN-20260727-02</x:v>
      </x:c>
      <x:c r="R18" s="19" t="str"/>
      <x:c r="S18" s="19" t="str">
        <x:v>Verified in the isolated dev app, focused tests, full Swift suite, or an exact source assertion as cited.</x:v>
      </x:c>
    </x:row>
  </x:sheetData>
  <x:dataValidations count="2">
    <x:dataValidation type="list" sqref="D2:D1000">
      <x:formula1>"Functional,Logic,UX,Content,Accessibility,State/Data,Integration/Environment,Test harness"</x:formula1>
    </x:dataValidation>
    <x:dataValidation type="list" sqref="E2:E100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3e0648299746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34" hidden="0" customWidth="1"/>
    <x:col min="5" max="5" width="22" hidden="0" customWidth="1"/>
    <x:col min="6" max="6" width="42" hidden="0" customWidth="1"/>
    <x:col min="7" max="7" width="42" hidden="0" customWidth="1"/>
    <x:col min="8" max="8" width="44" hidden="0" customWidth="1"/>
    <x:col min="9" max="9" width="4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0" hidden="0" customWidth="1"/>
    <x:col min="15" max="15" width="42" hidden="0" customWidth="1"/>
    <x:col min="16" max="16" width="20" hidden="0" customWidth="1"/>
    <x:col min="17" max="17" width="42" hidden="0" customWidth="1"/>
  </x:cols>
  <x:sheetData>
    <x:row r="1" ht="34" customHeight="1">
      <x:c r="A1" s="9" t="str">
        <x:v>opportunity_id</x:v>
      </x:c>
      <x:c r="B1" s="10" t="str">
        <x:v>feature_ids</x:v>
      </x:c>
      <x:c r="C1" s="10" t="str">
        <x:v>behavior_ids</x:v>
      </x:c>
      <x:c r="D1" s="10" t="str">
        <x:v>user_journey_step</x:v>
      </x:c>
      <x:c r="E1" s="10" t="str">
        <x:v>evidence_type</x:v>
      </x:c>
      <x:c r="F1" s="10" t="str">
        <x:v>evidence</x:v>
      </x:c>
      <x:c r="G1" s="10" t="str">
        <x:v>observed_friction</x:v>
      </x:c>
      <x:c r="H1" s="10" t="str">
        <x:v>proposed_change</x:v>
      </x:c>
      <x:c r="I1" s="10" t="str">
        <x:v>expected_user_benefit</x:v>
      </x:c>
      <x:c r="J1" s="10" t="str">
        <x:v>priority</x:v>
      </x:c>
      <x:c r="K1" s="10" t="str">
        <x:v>confidence</x:v>
      </x:c>
      <x:c r="L1" s="10" t="str">
        <x:v>effort</x:v>
      </x:c>
      <x:c r="M1" s="10" t="str">
        <x:v>risk</x:v>
      </x:c>
      <x:c r="N1" s="10" t="str">
        <x:v>validation_method</x:v>
      </x:c>
      <x:c r="O1" s="10" t="str">
        <x:v>visual_reference</x:v>
      </x:c>
      <x:c r="P1" s="10" t="str">
        <x:v>status</x:v>
      </x:c>
      <x:c r="Q1" s="11" t="str">
        <x:v>notes</x:v>
      </x:c>
    </x:row>
    <x:row r="2" ht="72" customHeight="1">
      <x:c r="A2" s="18" t="str">
        <x:v>UX-0001</x:v>
      </x:c>
      <x:c r="B2" s="18" t="str">
        <x:v>F-0013; F-0014; F-0015; F-0017</x:v>
      </x:c>
      <x:c r="C2" s="18" t="str">
        <x:v>B-0020; B-0021; B-0022; B-0023; B-0072</x:v>
      </x:c>
      <x:c r="D2" s="18" t="str">
        <x:v>Monitor an active meeting without obstructing it</x:v>
      </x:c>
      <x:c r="E2" s="18" t="str">
        <x:v>Current-run observation + user direction</x:v>
      </x:c>
      <x:c r="F2" s="18" t="str">
        <x:v>User report; production panel 356×64; Claude Opus 5 design analysis</x:v>
      </x:c>
      <x:c r="G2" s="18" t="str">
        <x:v>The bar repeats recording state through text, colored dots, waveform, and multiple expansion affordances.</x:v>
      </x:c>
      <x:c r="H2" s="18" t="str">
        <x:v>Replace it with a 66×22 micro-lozenge: one state ring plus timer; click opens a 220×30 tray; no geometry change on proximity hover.</x:v>
      </x:c>
      <x:c r="I2" s="18" t="str">
        <x:v>Recording remains trustworthy while using roughly one quarter of the visual footprint.</x:v>
      </x:c>
      <x:c r="J2" s="18" t="str">
        <x:v>P1</x:v>
      </x:c>
      <x:c r="K2" s="18" t="str">
        <x:v>High</x:v>
      </x:c>
      <x:c r="L2" s="18" t="str">
        <x:v>Medium</x:v>
      </x:c>
      <x:c r="M2" s="18" t="str">
        <x:v>Medium</x:v>
      </x:c>
      <x:c r="N2" s="18" t="str">
        <x:v>Verify idle/recording/degraded states, pointer target, Stop reachability, VoiceOver, full-screen calls, and two displays.</x:v>
      </x:c>
      <x:c r="O2" s="18" t="str">
        <x:v>/tmp/cepessa-liquidqa-final-recording.png; /tmp/cepessa-liquidqa-recording-tray5.png</x:v>
      </x:c>
      <x:c r="P2" s="18" t="str">
        <x:v>Implemented and verified</x:v>
      </x:c>
      <x:c r="Q2" s="18" t="str">
        <x:v>Claude route: claude-opus-5, high, read-only design call; $0.5842 reported cost.</x:v>
      </x:c>
    </x:row>
    <x:row r="3" ht="72" customHeight="1">
      <x:c r="A3" s="19" t="str">
        <x:v>UX-0002</x:v>
      </x:c>
      <x:c r="B3" s="19" t="str">
        <x:v>F-0007; F-0008; F-0023; F-0024; F-0031; F-0037; F-0039; F-0040</x:v>
      </x:c>
      <x:c r="C3" s="19" t="str">
        <x:v>B-0013; B-0014; B-0036; B-0038; B-0049; B-0063; B-0065</x:v>
      </x:c>
      <x:c r="D3" s="19" t="str">
        <x:v>Move through Sessions, Clips, and Settings</x:v>
      </x:c>
      <x:c r="E3" s="19" t="str">
        <x:v>Current-run observation + user direction</x:v>
      </x:c>
      <x:c r="F3" s="19" t="str">
        <x:v>User direction 2026-07-27; source/runtime inventory</x:v>
      </x:c>
      <x:c r="G3" s="19" t="str">
        <x:v>Reachable surfaces use mixed visual languages and dense custom chrome instead of one quiet Mac hierarchy.</x:v>
      </x:c>
      <x:c r="H3" s="19" t="str">
        <x:v>Refactor the reachable desktop app to a minimalist premium Liquid Glass system using native materials, semantic typography, compact controls, restrained depth, and accessible solid fallbacks.</x:v>
      </x:c>
      <x:c r="I3" s="19" t="str">
        <x:v>The app should feel coherent, calmer, and native without sacrificing evidence and capture trust.</x:v>
      </x:c>
      <x:c r="J3" s="19" t="str">
        <x:v>P1</x:v>
      </x:c>
      <x:c r="K3" s="19" t="str">
        <x:v>High</x:v>
      </x:c>
      <x:c r="L3" s="19" t="str">
        <x:v>High</x:v>
      </x:c>
      <x:c r="M3" s="19" t="str">
        <x:v>High</x:v>
      </x:c>
      <x:c r="N3" s="19" t="str">
        <x:v>Run full light/dark, Reduce Transparency, Increase Contrast, 720×520 and 1200×800 visual regression plus keyboard/VoiceOver review.</x:v>
      </x:c>
      <x:c r="O3" s="19" t="str">
        <x:v>/tmp/cepessa-liquidqa-sessions2.png; /tmp/cepessa-liquidqa-clips.png; /tmp/cepessa-liquidqa-settings3.png</x:v>
      </x:c>
      <x:c r="P3" s="19" t="str">
        <x:v>Implemented and partially verified</x:v>
      </x:c>
      <x:c r="Q3" s="19" t="str">
        <x:v>Implementation explicitly routed to Claude Opus 5 as an isolated sidecar; Codex remains verifier.</x:v>
      </x:c>
    </x:row>
  </x:sheetData>
  <x:dataValidations count="1">
    <x:dataValidation type="list" sqref="J2:J1000">
      <x:formula1>"P1,P2"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eeca63483c4b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0" t="str">
        <x:v>CEPESSA SESSIONS · QA EVIDENCE LEDGER</x:v>
      </x:c>
      <x:c r="B1" s="30" t="str">
        <x:v>CEPESSA SESSIONS · QA EVIDENCE LEDGER</x:v>
      </x:c>
      <x:c r="C1" s="30" t="str">
        <x:v>CEPESSA SESSIONS · QA EVIDENCE LEDGER</x:v>
      </x:c>
      <x:c r="D1" s="30" t="str">
        <x:v>CEPESSA SESSIONS · QA EVIDENCE LEDGER</x:v>
      </x:c>
      <x:c r="E1" s="30" t="str">
        <x:v>CEPESSA SESSIONS · QA EVIDENCE LEDGER</x:v>
      </x:c>
      <x:c r="F1" s="30" t="str">
        <x:v>CEPESSA SESSIONS · QA EVIDENCE LEDGER</x:v>
      </x:c>
      <x:c r="G1" s="30" t="str">
        <x:v>CEPESSA SESSIONS · QA EVIDENCE LEDGER</x:v>
      </x:c>
      <x:c r="H1" s="30" t="str">
        <x:v>CEPESSA SESSIONS · QA EVIDENCE LEDGER</x:v>
      </x:c>
    </x:row>
    <x:row r="2">
      <x:c r="A2" s="30" t="str">
        <x:v>CEPESSA SESSIONS · QA EVIDENCE LEDGER</x:v>
      </x:c>
      <x:c r="B2" s="30" t="str">
        <x:v>CEPESSA SESSIONS · QA EVIDENCE LEDGER</x:v>
      </x:c>
      <x:c r="C2" s="30" t="str">
        <x:v>CEPESSA SESSIONS · QA EVIDENCE LEDGER</x:v>
      </x:c>
      <x:c r="D2" s="30" t="str">
        <x:v>CEPESSA SESSIONS · QA EVIDENCE LEDGER</x:v>
      </x:c>
      <x:c r="E2" s="30" t="str">
        <x:v>CEPESSA SESSIONS · QA EVIDENCE LEDGER</x:v>
      </x:c>
      <x:c r="F2" s="30" t="str">
        <x:v>CEPESSA SESSIONS · QA EVIDENCE LEDGER</x:v>
      </x:c>
      <x:c r="G2" s="30" t="str">
        <x:v>CEPESSA SESSIONS · QA EVIDENCE LEDGER</x:v>
      </x:c>
      <x:c r="H2" s="30" t="str">
        <x:v>CEPESSA SESSIONS · QA EVIDENCE LEDGER</x:v>
      </x:c>
    </x:row>
    <x:row r="4" ht="44" customHeight="1">
      <x:c r="A4" s="34" t="str">
        <x:v>Current truth: the minimalist Liquid Glass refactor is implemented and the safe core journey is verified in an isolated dev app. The whole-app run remains Incomplete because real capture, OS-mediated flows, seeded evidence states, multi-display behavior, and full VoiceOver traversal were not executed.</x:v>
      </x:c>
      <x:c r="B4" s="34" t="str">
        <x:v>Current truth: the minimalist Liquid Glass refactor is implemented and the safe core journey is verified in an isolated dev app. The whole-app run remains Incomplete because real capture, OS-mediated flows, seeded evidence states, multi-display behavior, and full VoiceOver traversal were not executed.</x:v>
      </x:c>
      <x:c r="C4" s="34" t="str">
        <x:v>Current truth: the minimalist Liquid Glass refactor is implemented and the safe core journey is verified in an isolated dev app. The whole-app run remains Incomplete because real capture, OS-mediated flows, seeded evidence states, multi-display behavior, and full VoiceOver traversal were not executed.</x:v>
      </x:c>
      <x:c r="D4" s="34" t="str">
        <x:v>Current truth: the minimalist Liquid Glass refactor is implemented and the safe core journey is verified in an isolated dev app. The whole-app run remains Incomplete because real capture, OS-mediated flows, seeded evidence states, multi-display behavior, and full VoiceOver traversal were not executed.</x:v>
      </x:c>
      <x:c r="E4" s="34" t="str">
        <x:v>Current truth: the minimalist Liquid Glass refactor is implemented and the safe core journey is verified in an isolated dev app. The whole-app run remains Incomplete because real capture, OS-mediated flows, seeded evidence states, multi-display behavior, and full VoiceOver traversal were not executed.</x:v>
      </x:c>
      <x:c r="F4" s="34" t="str">
        <x:v>Current truth: the minimalist Liquid Glass refactor is implemented and the safe core journey is verified in an isolated dev app. The whole-app run remains Incomplete because real capture, OS-mediated flows, seeded evidence states, multi-display behavior, and full VoiceOver traversal were not executed.</x:v>
      </x:c>
      <x:c r="G4" s="34" t="str">
        <x:v>Current truth: the minimalist Liquid Glass refactor is implemented and the safe core journey is verified in an isolated dev app. The whole-app run remains Incomplete because real capture, OS-mediated flows, seeded evidence states, multi-display behavior, and full VoiceOver traversal were not executed.</x:v>
      </x:c>
      <x:c r="H4" s="34" t="str">
        <x:v>Current truth: the minimalist Liquid Glass refactor is implemented and the safe core journey is verified in an isolated dev app. The whole-app run remains Incomplete because real capture, OS-mediated flows, seeded evidence states, multi-display behavior, and full VoiceOver traversal were not executed.</x:v>
      </x:c>
    </x:row>
    <x:row r="6">
      <x:c r="A6" s="36" t="str">
        <x:v>Metric</x:v>
      </x:c>
      <x:c r="B6" s="36" t="str">
        <x:v>Current</x:v>
      </x:c>
      <x:c r="D6" s="36" t="str">
        <x:v>Verification boundary</x:v>
      </x:c>
      <x:c r="E6" s="36" t="str">
        <x:v>Verification boundary</x:v>
      </x:c>
      <x:c r="F6" s="36" t="str">
        <x:v>Verification boundary</x:v>
      </x:c>
      <x:c r="G6" s="36" t="str">
        <x:v>Verification boundary</x:v>
      </x:c>
      <x:c r="H6" s="36" t="str">
        <x:v>Verification boundary</x:v>
      </x:c>
    </x:row>
    <x:row r="7">
      <x:c r="A7" s="38" t="str">
        <x:v>Total features</x:v>
      </x:c>
      <x:c r="B7" s="40" t="n">
        <x:f>COUNTA('Features'!A2:A1000)</x:f>
        <x:v>43</x:v>
      </x:c>
      <x:c r="D7" s="42" t="str">
        <x:v>Run</x:v>
      </x:c>
      <x:c r="E7" s="42" t="str">
        <x:v>RUN-20260727-02 · Incomplete</x:v>
      </x:c>
      <x:c r="F7" s="42"/>
      <x:c r="G7" s="42"/>
      <x:c r="H7" s="42"/>
    </x:row>
    <x:row r="8">
      <x:c r="A8" s="39" t="str">
        <x:v>Total behaviors</x:v>
      </x:c>
      <x:c r="B8" s="41" t="n">
        <x:f>COUNTA('Behaviors'!A2:A2000)</x:f>
        <x:v>75</x:v>
      </x:c>
      <x:c r="D8" s="43" t="str">
        <x:v>Verified build</x:v>
      </x:c>
      <x:c r="E8" s="43" t="str">
        <x:v>Isolated debug bundle · 158 tests · 0 failures</x:v>
      </x:c>
      <x:c r="F8" s="43"/>
      <x:c r="G8" s="43"/>
      <x:c r="H8" s="43"/>
    </x:row>
    <x:row r="9">
      <x:c r="A9" s="39" t="str">
        <x:v>Baseline tests</x:v>
      </x:c>
      <x:c r="B9" s="41" t="n">
        <x:f>COUNTIF('Test Runs'!D2:D5000,"Baseline")</x:f>
        <x:v>75</x:v>
      </x:c>
      <x:c r="D9" s="43" t="str">
        <x:v>Source base</x:v>
      </x:c>
      <x:c r="E9" s="43" t="str">
        <x:v>e19a7a777ec17c127779ab44e371f81831c25c45</x:v>
      </x:c>
      <x:c r="F9" s="43"/>
      <x:c r="G9" s="43"/>
      <x:c r="H9" s="43"/>
    </x:row>
    <x:row r="10">
      <x:c r="A10" s="39" t="str">
        <x:v>Baseline failures</x:v>
      </x:c>
      <x:c r="B10" s="41" t="n">
        <x:f>COUNTIFS('Test Runs'!D2:D5000,"Baseline",'Test Runs'!K2:K5000,"Fail")</x:f>
        <x:v>3</x:v>
      </x:c>
      <x:c r="D10" s="43" t="str">
        <x:v>Platform</x:v>
      </x:c>
      <x:c r="E10" s="43" t="str">
        <x:v>macOS 26.5.2 · arm64</x:v>
      </x:c>
      <x:c r="F10" s="43"/>
      <x:c r="G10" s="43"/>
      <x:c r="H10" s="43"/>
    </x:row>
    <x:row r="11">
      <x:c r="A11" s="39" t="str">
        <x:v>Final tests</x:v>
      </x:c>
      <x:c r="B11" s="41" t="n">
        <x:f>COUNTIF('Test Runs'!D2:D5000,"Final regression")</x:f>
        <x:v>75</x:v>
      </x:c>
      <x:c r="D11" s="43" t="str">
        <x:v>Locale</x:v>
      </x:c>
      <x:c r="E11" s="43" t="str">
        <x:v>en_IL · en-IL / he-IL</x:v>
      </x:c>
      <x:c r="F11" s="43"/>
      <x:c r="G11" s="43"/>
      <x:c r="H11" s="43"/>
    </x:row>
    <x:row r="12">
      <x:c r="A12" s="39" t="str">
        <x:v>Final passes</x:v>
      </x:c>
      <x:c r="B12" s="41" t="n">
        <x:f>COUNTIFS('Test Runs'!D2:D5000,"Final regression",'Test Runs'!K2:K5000,"Pass")</x:f>
        <x:v>27</x:v>
      </x:c>
      <x:c r="D12" s="43" t="str">
        <x:v>Runtime proof</x:v>
      </x:c>
      <x:c r="E12" s="43" t="str">
        <x:v>22×22 idle · 66×22 recording · 220×30 tray</x:v>
      </x:c>
      <x:c r="F12" s="43"/>
      <x:c r="G12" s="43"/>
      <x:c r="H12" s="43"/>
    </x:row>
    <x:row r="13">
      <x:c r="A13" s="39" t="str">
        <x:v>Final failures</x:v>
      </x:c>
      <x:c r="B13" s="41" t="n">
        <x:f>COUNTIFS('Test Runs'!D2:D5000,"Final regression",'Test Runs'!K2:K5000,"Fail")</x:f>
        <x:v>0</x:v>
      </x:c>
      <x:c r="D13" s="43" t="str">
        <x:v>Protected</x:v>
      </x:c>
      <x:c r="E13" s="43" t="str">
        <x:v>Production app and recordings unchanged</x:v>
      </x:c>
      <x:c r="F13" s="43"/>
      <x:c r="G13" s="43"/>
      <x:c r="H13" s="43"/>
    </x:row>
    <x:row r="14">
      <x:c r="A14" s="39" t="str">
        <x:v>Final blocked</x:v>
      </x:c>
      <x:c r="B14" s="41" t="n">
        <x:f>COUNTIFS('Test Runs'!D2:D5000,"Final regression",'Test Runs'!K2:K5000,"Blocked")</x:f>
        <x:v>48</x:v>
      </x:c>
    </x:row>
    <x:row r="15">
      <x:c r="A15" s="39" t="str">
        <x:v>Open defects</x:v>
      </x:c>
      <x:c r="B15" s="41" t="n">
        <x:f>COUNTIF('Defects'!K2:K1000,"Open")+COUNTIF('Defects'!K2:K1000,"Reproduced")+COUNTIF('Defects'!K2:K1000,"Authorized")+COUNTIF('Defects'!K2:K1000,"Fixing")+COUNTIF('Defects'!K2:K1000,"Fixed unverified")+COUNTIF('Defects'!K2:K1000,"Reopened")</x:f>
        <x:v>4</x:v>
      </x:c>
    </x:row>
    <x:row r="16">
      <x:c r="A16" s="39" t="str">
        <x:v>UX opportunities</x:v>
      </x:c>
      <x:c r="B16" s="41" t="n">
        <x:f>COUNTA('UX Opportunities'!A2:A1000)</x:f>
        <x:v>2</x:v>
      </x:c>
    </x:row>
    <x:row r="17">
      <x:c r="A17" s="45" t="str">
        <x:v>ELI5</x:v>
      </x:c>
      <x:c r="B17" s="45" t="str">
        <x:v>ELI5</x:v>
      </x:c>
      <x:c r="C17" s="45" t="str">
        <x:v>ELI5</x:v>
      </x:c>
      <x:c r="D17" s="45" t="str">
        <x:v>ELI5</x:v>
      </x:c>
      <x:c r="E17" s="45" t="str">
        <x:v>ELI5</x:v>
      </x:c>
      <x:c r="F17" s="45" t="str">
        <x:v>ELI5</x:v>
      </x:c>
      <x:c r="G17" s="45" t="str">
        <x:v>ELI5</x:v>
      </x:c>
      <x:c r="H17" s="45" t="str">
        <x:v>ELI5</x:v>
      </x:c>
    </x:row>
    <x:row r="18">
      <x:c r="A18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B18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C18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D18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E18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F18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G18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H18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</x:row>
    <x:row r="19">
      <x:c r="A19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B19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C19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D19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E19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F19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G19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H19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</x:row>
    <x:row r="20">
      <x:c r="A20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B20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C20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D20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E20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F20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G20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  <x:c r="H20" s="49" t="str">
        <x:v>The distracting bar is now genuinely tiny and its important escape hatches work. This is still an honest checkpoint, not a release certificate: several flows need real permissions, fixtures, displays, and assistive-technology testing before every row can be called proven.</x:v>
      </x:c>
    </x:row>
  </x:sheetData>
  <x:mergeCells>
    <x:mergeCell ref="A1:H2"/>
    <x:mergeCell ref="A4:H4"/>
    <x:mergeCell ref="D6:H6"/>
    <x:mergeCell ref="E7:H7"/>
    <x:mergeCell ref="E8:H8"/>
    <x:mergeCell ref="E9:H9"/>
    <x:mergeCell ref="E10:H10"/>
    <x:mergeCell ref="E11:H11"/>
    <x:mergeCell ref="E12:H12"/>
    <x:mergeCell ref="E13:H13"/>
    <x:mergeCell ref="A17:H17"/>
    <x:mergeCell ref="A18:H20"/>
  </x:mergeCells>
  <x:pageMargins left="0.7" right="0.7" top="0.75" bottom="0.75" header="0.3" footer="0.3"/>
</x:worksheet>
</file>